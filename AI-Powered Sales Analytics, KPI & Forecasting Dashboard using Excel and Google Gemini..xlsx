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4260" activeTab="1"/>
  </bookViews>
  <sheets>
    <sheet name="Raw_data" sheetId="1" r:id="rId1"/>
    <sheet name="Data_Cleaned" sheetId="2" r:id="rId2"/>
    <sheet name="KPI_Calc" sheetId="4" r:id="rId3"/>
    <sheet name="Assumptions" sheetId="5" r:id="rId4"/>
    <sheet name="Scenario_Model" sheetId="6" r:id="rId5"/>
    <sheet name="Slicers" sheetId="13" r:id="rId6"/>
    <sheet name="Product Table" sheetId="14" r:id="rId7"/>
    <sheet name="Pivot tables" sheetId="17" r:id="rId8"/>
    <sheet name="Dashboard" sheetId="20" r:id="rId9"/>
  </sheets>
  <definedNames>
    <definedName name="_xlnm._FilterDatabase" localSheetId="6" hidden="1">'Product Table'!$A$1:$F$204</definedName>
    <definedName name="Slicer_ProductLine1">#N/A</definedName>
    <definedName name="Slicer_Region2">#N/A</definedName>
    <definedName name="Slicer_Helper4">#N/A</definedName>
    <definedName name="Slicer_ProductLine6">#N/A</definedName>
    <definedName name="Slicer_ProductLine7">#N/A</definedName>
    <definedName name="Slicer_Region8">#N/A</definedName>
    <definedName name="Slicer_Helper9">#N/A</definedName>
    <definedName name="Slicer_ProductLine">#N/A</definedName>
    <definedName name="Slicer_Helper">#N/A</definedName>
    <definedName name="Slicer_UnitsSold">#N/A</definedName>
    <definedName name="Slicer_Region">#N/A</definedName>
    <definedName name="_xlnm._FilterDatabase" localSheetId="2" hidden="1">KPI_Calc!$A$75:$B$75</definedName>
    <definedName name="_xlnm._FilterDatabase" localSheetId="1" hidden="1">Data_Cleaned!$A$1:$M$204</definedName>
  </definedNames>
  <calcPr calcId="191029"/>
  <pivotCaches>
    <pivotCache cacheId="0" r:id="rId10"/>
    <pivotCache cacheId="1" r:id="rId11"/>
  </pivotCaches>
  <extLst>
    <ext xmlns:x14="http://schemas.microsoft.com/office/spreadsheetml/2009/9/main" uri="{BBE1A952-AA13-448e-AADC-164F8A28A991}">
      <x14:slicerCaches>
        <x14:slicerCache r:id="rId18"/>
        <x14:slicerCache r:id="rId17"/>
        <x14:slicerCache r:id="rId16"/>
        <x14:slicerCache r:id="rId15"/>
        <x14:slicerCache r:id="rId14"/>
        <x14:slicerCache r:id="rId13"/>
        <x14:slicerCache r:id="rId12"/>
      </x14:slicerCaches>
    </ext>
    <ext xmlns:x15="http://schemas.microsoft.com/office/spreadsheetml/2010/11/main" uri="{46BE6895-7355-4a93-B00E-2C351335B9C9}">
      <x15:slicerCaches xmlns:x14="http://schemas.microsoft.com/office/spreadsheetml/2009/9/main">
        <x14:slicerCache r:id="rId22"/>
        <x14:slicerCache r:id="rId21"/>
        <x14:slicerCache r:id="rId20"/>
        <x14:slicerCache r:id="rId19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<sst xmlns="http://schemas.openxmlformats.org/spreadsheetml/2006/main" count="2779" uniqueCount="142">
  <si>
    <t>Date</t>
  </si>
  <si>
    <t>OrderID</t>
  </si>
  <si>
    <t>ProductID</t>
  </si>
  <si>
    <t>ProductLine</t>
  </si>
  <si>
    <t>Region</t>
  </si>
  <si>
    <t>UnitsSold</t>
  </si>
  <si>
    <t>UnitPrice</t>
  </si>
  <si>
    <t>UnitCost</t>
  </si>
  <si>
    <t>MarketingSpend</t>
  </si>
  <si>
    <t>P008</t>
  </si>
  <si>
    <t>Gadgets</t>
  </si>
  <si>
    <t>North</t>
  </si>
  <si>
    <t>P015</t>
  </si>
  <si>
    <t xml:space="preserve"> Tools </t>
  </si>
  <si>
    <t>South</t>
  </si>
  <si>
    <t>P026</t>
  </si>
  <si>
    <t>Widgets</t>
  </si>
  <si>
    <t>West</t>
  </si>
  <si>
    <t>P003</t>
  </si>
  <si>
    <t>P024</t>
  </si>
  <si>
    <t>P023</t>
  </si>
  <si>
    <t>Tools</t>
  </si>
  <si>
    <t>P005</t>
  </si>
  <si>
    <t>Accessories</t>
  </si>
  <si>
    <t>P001</t>
  </si>
  <si>
    <t>East</t>
  </si>
  <si>
    <t>P017</t>
  </si>
  <si>
    <t>P029</t>
  </si>
  <si>
    <t>P020</t>
  </si>
  <si>
    <t>P018</t>
  </si>
  <si>
    <t xml:space="preserve"> Gadgets </t>
  </si>
  <si>
    <t>P019</t>
  </si>
  <si>
    <t>P013</t>
  </si>
  <si>
    <t>P028</t>
  </si>
  <si>
    <t>P022</t>
  </si>
  <si>
    <t>P004</t>
  </si>
  <si>
    <t>P021</t>
  </si>
  <si>
    <t>P014</t>
  </si>
  <si>
    <t>P011</t>
  </si>
  <si>
    <t>P002</t>
  </si>
  <si>
    <t>accessories</t>
  </si>
  <si>
    <t>P025</t>
  </si>
  <si>
    <t>P009</t>
  </si>
  <si>
    <t>P012</t>
  </si>
  <si>
    <t>P016</t>
  </si>
  <si>
    <t>P027</t>
  </si>
  <si>
    <t xml:space="preserve">East </t>
  </si>
  <si>
    <t>P010</t>
  </si>
  <si>
    <t>tools</t>
  </si>
  <si>
    <t>P030</t>
  </si>
  <si>
    <t>gadgets</t>
  </si>
  <si>
    <t xml:space="preserve">North </t>
  </si>
  <si>
    <t>P006</t>
  </si>
  <si>
    <t>P007</t>
  </si>
  <si>
    <t>07/20/2024</t>
  </si>
  <si>
    <t>07/14/2024</t>
  </si>
  <si>
    <t>01/15/2024</t>
  </si>
  <si>
    <t>11/23/2024</t>
  </si>
  <si>
    <t xml:space="preserve"> Accessories </t>
  </si>
  <si>
    <t>05/21/2024</t>
  </si>
  <si>
    <t>01/14/2024</t>
  </si>
  <si>
    <t>08/21/2024</t>
  </si>
  <si>
    <t>01/25/2024</t>
  </si>
  <si>
    <t>06/22/2024</t>
  </si>
  <si>
    <t xml:space="preserve">South </t>
  </si>
  <si>
    <t>11/15/2024</t>
  </si>
  <si>
    <t>05/26/2024</t>
  </si>
  <si>
    <t>07/31/2024</t>
  </si>
  <si>
    <t>11/26/2024</t>
  </si>
  <si>
    <t>05/14/2024</t>
  </si>
  <si>
    <t>06/18/2024</t>
  </si>
  <si>
    <t xml:space="preserve">West </t>
  </si>
  <si>
    <t>01/20/2024</t>
  </si>
  <si>
    <t>date_iso</t>
  </si>
  <si>
    <t>Revenue</t>
  </si>
  <si>
    <t>COGS</t>
  </si>
  <si>
    <t>Gross_profit</t>
  </si>
  <si>
    <t>Margin%</t>
  </si>
  <si>
    <t>Helper</t>
  </si>
  <si>
    <t>Total Revenue</t>
  </si>
  <si>
    <t>Total Units</t>
  </si>
  <si>
    <t>Total Cost</t>
  </si>
  <si>
    <t>Total Gross Profit</t>
  </si>
  <si>
    <t>Average margin</t>
  </si>
  <si>
    <t>Average margin%</t>
  </si>
  <si>
    <t>Region Wise Revenue</t>
  </si>
  <si>
    <t xml:space="preserve">Revenue from North region </t>
  </si>
  <si>
    <t xml:space="preserve">Revenue from South region </t>
  </si>
  <si>
    <t xml:space="preserve">Revenue from East region </t>
  </si>
  <si>
    <t xml:space="preserve">Revenue from West region </t>
  </si>
  <si>
    <t>“The total revenue matches the total revenue by each region.” ✅</t>
  </si>
  <si>
    <t>Monthly Revenue</t>
  </si>
  <si>
    <t>Month</t>
  </si>
  <si>
    <t>Units</t>
  </si>
  <si>
    <t>Gross Profit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</si>
  <si>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</si>
  <si>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</si>
  <si>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</si>
  <si>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</si>
  <si>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</si>
  <si>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</si>
  <si>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</si>
  <si>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</si>
  <si>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</si>
  <si>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</si>
  <si>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</si>
  <si>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</si>
  <si>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All the data matches correctly✅</t>
  </si>
  <si>
    <t>Product Wise Analysis</t>
  </si>
  <si>
    <t>Product line</t>
  </si>
  <si>
    <t>Total</t>
  </si>
  <si>
    <t>Description</t>
  </si>
  <si>
    <t xml:space="preserve">Parameter </t>
  </si>
  <si>
    <t>Value</t>
  </si>
  <si>
    <t>Price % change</t>
  </si>
  <si>
    <t>PriceChange%</t>
  </si>
  <si>
    <t>Cost % change</t>
  </si>
  <si>
    <t>CostInflation%</t>
  </si>
  <si>
    <t>Marketing budget % change</t>
  </si>
  <si>
    <t>MarketingChange%</t>
  </si>
  <si>
    <t>Number of months to forecast</t>
  </si>
  <si>
    <t>ForecastMonths</t>
  </si>
  <si>
    <t>Selected scenario name</t>
  </si>
  <si>
    <t>ScenarioSelect</t>
  </si>
  <si>
    <t>Base</t>
  </si>
  <si>
    <t>BaseUnitPrice</t>
  </si>
  <si>
    <t>BaseUnitCost</t>
  </si>
  <si>
    <t>ProjectedUnitPrice</t>
  </si>
  <si>
    <t>ProjectedUnitCost</t>
  </si>
  <si>
    <t>ProjectedUnits</t>
  </si>
  <si>
    <t>ProjectedRevenue</t>
  </si>
  <si>
    <t>ProjectedGrossProfit</t>
  </si>
  <si>
    <t>date</t>
  </si>
  <si>
    <t>Values</t>
  </si>
  <si>
    <t>Total Sum of Revenue</t>
  </si>
  <si>
    <t>Total Sum of UnitsSold</t>
  </si>
  <si>
    <t>Sum of Revenue</t>
  </si>
  <si>
    <t>Sum of UnitsSold</t>
  </si>
  <si>
    <t>Grand Total</t>
  </si>
  <si>
    <t>Sum of Gross_profit</t>
  </si>
  <si>
    <t>Sum of COGS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</si>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</sst>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  <numFmt numFmtId="177" formatCode="yyyy\-mm\-dd;@"/>
    <numFmt numFmtId="178" formatCode="dd\-mmm\-yy"/>
  </numFmts>
  <fonts count="23">
    <font>
      <sz val="11"/>
      <color theme="1"/>
      <name val="Calibri"/>
      <charset val="134"/>
      <scheme val="minor"/>
    </font>
    <font>
      <sz val="11"/>
      <color theme="0" tint="-0.15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EEFF7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C49CC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6" borderId="6" applyNumberFormat="0" applyAlignment="0" applyProtection="0">
      <alignment vertical="center"/>
    </xf>
    <xf numFmtId="0" fontId="13" fillId="17" borderId="7" applyNumberFormat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5" fillId="1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2" borderId="0" xfId="0" applyFill="1">
      <alignment vertical="center"/>
    </xf>
    <xf numFmtId="10" fontId="0" fillId="2" borderId="0" xfId="0" applyNumberFormat="1" applyFill="1">
      <alignment vertical="center"/>
    </xf>
    <xf numFmtId="0" fontId="1" fillId="2" borderId="0" xfId="0" applyFont="1" applyFill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176" fontId="0" fillId="0" borderId="0" xfId="0" applyNumberFormat="1">
      <alignment vertical="center"/>
    </xf>
    <xf numFmtId="0" fontId="2" fillId="0" borderId="0" xfId="0" applyFont="1" applyFill="1">
      <alignment vertical="center"/>
    </xf>
    <xf numFmtId="0" fontId="0" fillId="3" borderId="0" xfId="0" applyFill="1">
      <alignment vertical="center"/>
    </xf>
    <xf numFmtId="0" fontId="3" fillId="4" borderId="0" xfId="0" applyFont="1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10" fontId="0" fillId="0" borderId="0" xfId="0" applyNumberFormat="1" applyFont="1" applyFill="1" applyBorder="1" applyAlignment="1" applyProtection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3" fillId="11" borderId="0" xfId="0" applyFont="1" applyFill="1">
      <alignment vertical="center"/>
    </xf>
    <xf numFmtId="0" fontId="2" fillId="12" borderId="0" xfId="0" applyFont="1" applyFill="1">
      <alignment vertical="center"/>
    </xf>
    <xf numFmtId="0" fontId="2" fillId="13" borderId="0" xfId="0" applyFont="1" applyFill="1">
      <alignment vertical="center"/>
    </xf>
    <xf numFmtId="0" fontId="0" fillId="14" borderId="1" xfId="0" applyNumberFormat="1" applyFont="1" applyFill="1" applyBorder="1" applyAlignment="1" applyProtection="1">
      <alignment vertical="center"/>
    </xf>
    <xf numFmtId="0" fontId="0" fillId="14" borderId="2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vertical="center"/>
    </xf>
    <xf numFmtId="0" fontId="0" fillId="0" borderId="2" xfId="0" applyNumberFormat="1" applyFont="1" applyFill="1" applyBorder="1" applyAlignment="1" applyProtection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176" fontId="0" fillId="0" borderId="0" xfId="0" applyNumberFormat="1" applyFont="1" applyFill="1" applyBorder="1" applyAlignment="1" applyProtection="1">
      <alignment horizontal="left" vertical="center"/>
    </xf>
    <xf numFmtId="177" fontId="0" fillId="0" borderId="0" xfId="0" applyNumberFormat="1" applyFont="1" applyFill="1" applyBorder="1" applyAlignment="1" applyProtection="1">
      <alignment horizontal="left" vertical="center"/>
    </xf>
    <xf numFmtId="58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able Style 1" pivot="0" count="0" xr9:uid="{913FBE8E-9A66-54F3-76DF-36698FE1F0A1}"/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905A91"/>
      <color rgb="00C49CC4"/>
      <color rgb="00929292"/>
      <color rgb="002A2A2A"/>
      <color rgb="000D0D0C"/>
      <color rgb="00262626"/>
      <color rgb="000D0D0D"/>
      <color rgb="006069B1"/>
      <color rgb="006B58B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microsoft.com/office/2007/relationships/slicerCache" Target="slicerCaches/slicerCache11.xml"/><Relationship Id="rId21" Type="http://schemas.microsoft.com/office/2007/relationships/slicerCache" Target="slicerCaches/slicerCache10.xml"/><Relationship Id="rId20" Type="http://schemas.microsoft.com/office/2007/relationships/slicerCache" Target="slicerCaches/slicerCache9.xml"/><Relationship Id="rId2" Type="http://schemas.openxmlformats.org/officeDocument/2006/relationships/worksheet" Target="worksheets/sheet2.xml"/><Relationship Id="rId19" Type="http://schemas.microsoft.com/office/2007/relationships/slicerCache" Target="slicerCaches/slicerCache8.xml"/><Relationship Id="rId18" Type="http://schemas.microsoft.com/office/2007/relationships/slicerCache" Target="slicerCaches/slicerCache7.xml"/><Relationship Id="rId17" Type="http://schemas.microsoft.com/office/2007/relationships/slicerCache" Target="slicerCaches/slicerCache6.xml"/><Relationship Id="rId16" Type="http://schemas.microsoft.com/office/2007/relationships/slicerCache" Target="slicerCaches/slicerCache5.xml"/><Relationship Id="rId15" Type="http://schemas.microsoft.com/office/2007/relationships/slicerCache" Target="slicerCaches/slicerCache4.xml"/><Relationship Id="rId14" Type="http://schemas.microsoft.com/office/2007/relationships/slicerCache" Target="slicerCaches/slicerCache3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4226967180704"/>
          <c:y val="0.0070208284577580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KPI_Calc!$A$1:$A$6</c:f>
              <c:strCache>
                <c:ptCount val="6"/>
                <c:pt idx="0">
                  <c:v>Total Revenue</c:v>
                </c:pt>
                <c:pt idx="1">
                  <c:v>Total Units</c:v>
                </c:pt>
                <c:pt idx="2">
                  <c:v>Total Cost</c:v>
                </c:pt>
                <c:pt idx="3">
                  <c:v>Total Gross Profit</c:v>
                </c:pt>
                <c:pt idx="4">
                  <c:v>Average margin</c:v>
                </c:pt>
                <c:pt idx="5">
                  <c:v>Average margin%</c:v>
                </c:pt>
              </c:strCache>
            </c:strRef>
          </c:cat>
          <c:val>
            <c:numRef>
              <c:f>KPI_Calc!$B$1:$B$6</c:f>
              <c:numCache>
                <c:formatCode>General</c:formatCode>
                <c:ptCount val="6"/>
                <c:pt idx="0">
                  <c:v>162332.97</c:v>
                </c:pt>
                <c:pt idx="1">
                  <c:v>2565</c:v>
                </c:pt>
                <c:pt idx="2">
                  <c:v>83527.21</c:v>
                </c:pt>
                <c:pt idx="3">
                  <c:v>78805.76</c:v>
                </c:pt>
                <c:pt idx="4">
                  <c:v>30.7234931773879</c:v>
                </c:pt>
                <c:pt idx="5">
                  <c:v>48.545751365234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35452618"/>
        <c:axId val="841838110"/>
      </c:barChart>
      <c:catAx>
        <c:axId val="43545261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1838110"/>
        <c:crosses val="autoZero"/>
        <c:auto val="1"/>
        <c:lblAlgn val="ctr"/>
        <c:lblOffset val="100"/>
        <c:noMultiLvlLbl val="0"/>
      </c:catAx>
      <c:valAx>
        <c:axId val="8418381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54526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e1c9a81-6d18-48f4-8b4a-f686c19b80c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6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KPI_Calc!$A$18:$A$23</c:f>
              <c:strCache>
                <c:ptCount val="6"/>
                <c:pt idx="0">
                  <c:v>Region Wise Revenue</c:v>
                </c:pt>
                <c:pt idx="2">
                  <c:v>Revenue from North region </c:v>
                </c:pt>
                <c:pt idx="3">
                  <c:v>Revenue from South region </c:v>
                </c:pt>
                <c:pt idx="4">
                  <c:v>Revenue from East region </c:v>
                </c:pt>
                <c:pt idx="5">
                  <c:v>Revenue from West region </c:v>
                </c:pt>
              </c:strCache>
            </c:strRef>
          </c:cat>
          <c:val>
            <c:numRef>
              <c:f>KPI_Calc!$B$18:$B$23</c:f>
              <c:numCache>
                <c:formatCode>General</c:formatCode>
                <c:ptCount val="6"/>
                <c:pt idx="2">
                  <c:v>43318.38</c:v>
                </c:pt>
                <c:pt idx="3">
                  <c:v>39250.72</c:v>
                </c:pt>
                <c:pt idx="4">
                  <c:v>36630.73</c:v>
                </c:pt>
                <c:pt idx="5">
                  <c:v>43133.14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100"/>
        <c:axId val="701467543"/>
        <c:axId val="713319184"/>
      </c:barChart>
      <c:catAx>
        <c:axId val="701467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3319184"/>
        <c:crosses val="autoZero"/>
        <c:auto val="1"/>
        <c:lblAlgn val="ctr"/>
        <c:lblOffset val="100"/>
        <c:noMultiLvlLbl val="0"/>
      </c:catAx>
      <c:valAx>
        <c:axId val="71331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1467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62e8291-6507-41b5-b911-c5d2dcdeaf3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KPI_Calc!$B$47:$B$49</c:f>
              <c:strCache>
                <c:ptCount val="1"/>
                <c:pt idx="0">
                  <c:v>Monthly Revenue Revenue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KPI_Calc!$A$50:$A$61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KPI_Calc!$B$50:$B$61</c:f>
              <c:numCache>
                <c:formatCode>General</c:formatCode>
                <c:ptCount val="12"/>
                <c:pt idx="0">
                  <c:v>13656.94</c:v>
                </c:pt>
                <c:pt idx="1">
                  <c:v>21072.4</c:v>
                </c:pt>
                <c:pt idx="2">
                  <c:v>14263.05</c:v>
                </c:pt>
                <c:pt idx="3">
                  <c:v>6762.45</c:v>
                </c:pt>
                <c:pt idx="4">
                  <c:v>15367.54</c:v>
                </c:pt>
                <c:pt idx="5">
                  <c:v>12866.31</c:v>
                </c:pt>
                <c:pt idx="6">
                  <c:v>13237.96</c:v>
                </c:pt>
                <c:pt idx="7">
                  <c:v>25642.76</c:v>
                </c:pt>
                <c:pt idx="8">
                  <c:v>11124.54</c:v>
                </c:pt>
                <c:pt idx="9">
                  <c:v>11941.62</c:v>
                </c:pt>
                <c:pt idx="10">
                  <c:v>13166.92</c:v>
                </c:pt>
                <c:pt idx="11">
                  <c:v>3230.48</c:v>
                </c:pt>
              </c:numCache>
            </c:numRef>
          </c:val>
        </c:ser>
        <c:ser>
          <c:idx val="1"/>
          <c:order val="1"/>
          <c:tx>
            <c:strRef>
              <c:f>KPI_Calc!$C$47:$C$49</c:f>
              <c:strCache>
                <c:ptCount val="1"/>
                <c:pt idx="0">
                  <c:v>Monthly Revenue Units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KPI_Calc!$A$50:$A$61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KPI_Calc!$C$50:$C$61</c:f>
              <c:numCache>
                <c:formatCode>General</c:formatCode>
                <c:ptCount val="12"/>
                <c:pt idx="0">
                  <c:v>214</c:v>
                </c:pt>
                <c:pt idx="1">
                  <c:v>237</c:v>
                </c:pt>
                <c:pt idx="2">
                  <c:v>247</c:v>
                </c:pt>
                <c:pt idx="3">
                  <c:v>111</c:v>
                </c:pt>
                <c:pt idx="4">
                  <c:v>248</c:v>
                </c:pt>
                <c:pt idx="5">
                  <c:v>205</c:v>
                </c:pt>
                <c:pt idx="6">
                  <c:v>262</c:v>
                </c:pt>
                <c:pt idx="7">
                  <c:v>353</c:v>
                </c:pt>
                <c:pt idx="8">
                  <c:v>225</c:v>
                </c:pt>
                <c:pt idx="9">
                  <c:v>166</c:v>
                </c:pt>
                <c:pt idx="10">
                  <c:v>245</c:v>
                </c:pt>
                <c:pt idx="11">
                  <c:v>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366977"/>
        <c:axId val="482804969"/>
      </c:barChart>
      <c:lineChart>
        <c:grouping val="standard"/>
        <c:varyColors val="0"/>
        <c:ser>
          <c:idx val="2"/>
          <c:order val="2"/>
          <c:tx>
            <c:strRef>
              <c:f>KPI_Calc!$D$47:$D$49</c:f>
              <c:strCache>
                <c:ptCount val="1"/>
                <c:pt idx="0">
                  <c:v>Monthly Revenue Gross Profit</c:v>
                </c:pt>
              </c:strCache>
            </c:strRef>
          </c:tx>
          <c:spPr>
            <a:ln w="28575" cap="rnd">
              <a:solidFill>
                <a:schemeClr val="accent6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KPI_Calc!$A$50:$A$61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KPI_Calc!$D$50:$D$61</c:f>
              <c:numCache>
                <c:formatCode>General</c:formatCode>
                <c:ptCount val="12"/>
                <c:pt idx="0">
                  <c:v>7527.8</c:v>
                </c:pt>
                <c:pt idx="1">
                  <c:v>9935.86</c:v>
                </c:pt>
                <c:pt idx="2">
                  <c:v>6823.05</c:v>
                </c:pt>
                <c:pt idx="3">
                  <c:v>3124.03</c:v>
                </c:pt>
                <c:pt idx="4">
                  <c:v>7822.45</c:v>
                </c:pt>
                <c:pt idx="5">
                  <c:v>5970.21</c:v>
                </c:pt>
                <c:pt idx="6">
                  <c:v>6285.75</c:v>
                </c:pt>
                <c:pt idx="7">
                  <c:v>12151.83</c:v>
                </c:pt>
                <c:pt idx="8">
                  <c:v>4941.9</c:v>
                </c:pt>
                <c:pt idx="9">
                  <c:v>5850.96</c:v>
                </c:pt>
                <c:pt idx="10">
                  <c:v>6556.59</c:v>
                </c:pt>
                <c:pt idx="11">
                  <c:v>1815.33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2366977"/>
        <c:axId val="482804969"/>
      </c:lineChart>
      <c:catAx>
        <c:axId val="923669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2804969"/>
        <c:crosses val="autoZero"/>
        <c:auto val="1"/>
        <c:lblAlgn val="ctr"/>
        <c:lblOffset val="100"/>
        <c:noMultiLvlLbl val="0"/>
      </c:catAx>
      <c:valAx>
        <c:axId val="4828049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669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f532f5f-a3b2-4fde-981a-8119d45986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KPI_Calc!$A$76:$A$79</c:f>
              <c:strCache>
                <c:ptCount val="4"/>
                <c:pt idx="0">
                  <c:v>Gadgets</c:v>
                </c:pt>
                <c:pt idx="1">
                  <c:v>Tools</c:v>
                </c:pt>
                <c:pt idx="2">
                  <c:v>Widgets</c:v>
                </c:pt>
                <c:pt idx="3">
                  <c:v>Accessories</c:v>
                </c:pt>
              </c:strCache>
            </c:strRef>
          </c:cat>
          <c:val>
            <c:numRef>
              <c:f>KPI_Calc!$B$76:$B$79</c:f>
              <c:numCache>
                <c:formatCode>General</c:formatCode>
                <c:ptCount val="4"/>
                <c:pt idx="0">
                  <c:v>42009.9</c:v>
                </c:pt>
                <c:pt idx="1">
                  <c:v>49824.98</c:v>
                </c:pt>
                <c:pt idx="2">
                  <c:v>29784.7</c:v>
                </c:pt>
                <c:pt idx="3">
                  <c:v>40713.39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fc489a-8c6f-4147-b84d-7022870b333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[AI-Powered Sales Analytics, KPI &amp; Forecasting Dashboard using Excel and Google Gemini..xlsx]Pivot tables!PivotTable2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tables'!$B$3:$B$5</c:f>
              <c:strCache>
                <c:ptCount val="1"/>
                <c:pt idx="0">
                  <c:v>Accessories - 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tables'!$B$6:$B$10</c:f>
              <c:numCache>
                <c:formatCode>General</c:formatCode>
                <c:ptCount val="4"/>
                <c:pt idx="0">
                  <c:v>10467.39</c:v>
                </c:pt>
                <c:pt idx="1">
                  <c:v>8785.72</c:v>
                </c:pt>
                <c:pt idx="2">
                  <c:v>14010.74</c:v>
                </c:pt>
                <c:pt idx="3">
                  <c:v>7449.54</c:v>
                </c:pt>
              </c:numCache>
            </c:numRef>
          </c:val>
        </c:ser>
        <c:ser>
          <c:idx val="1"/>
          <c:order val="1"/>
          <c:tx>
            <c:strRef>
              <c:f>'Pivot tables'!$C$3:$C$5</c:f>
              <c:strCache>
                <c:ptCount val="1"/>
                <c:pt idx="0">
                  <c:v>Accessories - Sum of UnitsSold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tables'!$C$6:$C$10</c:f>
              <c:numCache>
                <c:formatCode>General</c:formatCode>
                <c:ptCount val="4"/>
                <c:pt idx="0">
                  <c:v>142</c:v>
                </c:pt>
                <c:pt idx="1">
                  <c:v>123</c:v>
                </c:pt>
                <c:pt idx="2">
                  <c:v>220</c:v>
                </c:pt>
                <c:pt idx="3">
                  <c:v>111</c:v>
                </c:pt>
              </c:numCache>
            </c:numRef>
          </c:val>
        </c:ser>
        <c:ser>
          <c:idx val="2"/>
          <c:order val="2"/>
          <c:tx>
            <c:strRef>
              <c:f>'Pivot tables'!$D$3:$D$5</c:f>
              <c:strCache>
                <c:ptCount val="1"/>
                <c:pt idx="0">
                  <c:v>Gadgets - Sum of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tables'!$D$6:$D$10</c:f>
              <c:numCache>
                <c:formatCode>General</c:formatCode>
                <c:ptCount val="4"/>
                <c:pt idx="0">
                  <c:v>9470.12</c:v>
                </c:pt>
                <c:pt idx="1">
                  <c:v>12253.76</c:v>
                </c:pt>
                <c:pt idx="2">
                  <c:v>10745.23</c:v>
                </c:pt>
                <c:pt idx="3">
                  <c:v>9540.79</c:v>
                </c:pt>
              </c:numCache>
            </c:numRef>
          </c:val>
        </c:ser>
        <c:ser>
          <c:idx val="3"/>
          <c:order val="3"/>
          <c:tx>
            <c:strRef>
              <c:f>'Pivot tables'!$E$3:$E$5</c:f>
              <c:strCache>
                <c:ptCount val="1"/>
                <c:pt idx="0">
                  <c:v>Gadgets - Sum of UnitsSold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tables'!$E$6:$E$10</c:f>
              <c:numCache>
                <c:formatCode>General</c:formatCode>
                <c:ptCount val="4"/>
                <c:pt idx="0">
                  <c:v>192</c:v>
                </c:pt>
                <c:pt idx="1">
                  <c:v>194</c:v>
                </c:pt>
                <c:pt idx="2">
                  <c:v>137</c:v>
                </c:pt>
                <c:pt idx="3">
                  <c:v>142</c:v>
                </c:pt>
              </c:numCache>
            </c:numRef>
          </c:val>
        </c:ser>
        <c:ser>
          <c:idx val="4"/>
          <c:order val="4"/>
          <c:tx>
            <c:strRef>
              <c:f>'Pivot tables'!$F$3:$F$5</c:f>
              <c:strCache>
                <c:ptCount val="1"/>
                <c:pt idx="0">
                  <c:v>Tools - Sum of 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tables'!$F$6:$F$10</c:f>
              <c:numCache>
                <c:formatCode>General</c:formatCode>
                <c:ptCount val="4"/>
                <c:pt idx="0">
                  <c:v>10068.47</c:v>
                </c:pt>
                <c:pt idx="1">
                  <c:v>15439.58</c:v>
                </c:pt>
                <c:pt idx="2">
                  <c:v>9257.91</c:v>
                </c:pt>
                <c:pt idx="3">
                  <c:v>15059.02</c:v>
                </c:pt>
              </c:numCache>
            </c:numRef>
          </c:val>
        </c:ser>
        <c:ser>
          <c:idx val="5"/>
          <c:order val="5"/>
          <c:tx>
            <c:strRef>
              <c:f>'Pivot tables'!$G$3:$G$5</c:f>
              <c:strCache>
                <c:ptCount val="1"/>
                <c:pt idx="0">
                  <c:v>Tools - Sum of UnitsSold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tables'!$G$6:$G$10</c:f>
              <c:numCache>
                <c:formatCode>General</c:formatCode>
                <c:ptCount val="4"/>
                <c:pt idx="0">
                  <c:v>161</c:v>
                </c:pt>
                <c:pt idx="1">
                  <c:v>211</c:v>
                </c:pt>
                <c:pt idx="2">
                  <c:v>167</c:v>
                </c:pt>
                <c:pt idx="3">
                  <c:v>245</c:v>
                </c:pt>
              </c:numCache>
            </c:numRef>
          </c:val>
        </c:ser>
        <c:ser>
          <c:idx val="6"/>
          <c:order val="6"/>
          <c:tx>
            <c:strRef>
              <c:f>'Pivot tables'!$H$3:$H$5</c:f>
              <c:strCache>
                <c:ptCount val="1"/>
                <c:pt idx="0">
                  <c:v>Widgets - Sum of Revenue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tables'!$H$6:$H$10</c:f>
              <c:numCache>
                <c:formatCode>General</c:formatCode>
                <c:ptCount val="4"/>
                <c:pt idx="0">
                  <c:v>6624.75</c:v>
                </c:pt>
                <c:pt idx="1">
                  <c:v>6839.32</c:v>
                </c:pt>
                <c:pt idx="2">
                  <c:v>5236.84</c:v>
                </c:pt>
                <c:pt idx="3">
                  <c:v>11083.79</c:v>
                </c:pt>
              </c:numCache>
            </c:numRef>
          </c:val>
        </c:ser>
        <c:ser>
          <c:idx val="7"/>
          <c:order val="7"/>
          <c:tx>
            <c:strRef>
              <c:f>'Pivot tables'!$I$3:$I$5</c:f>
              <c:strCache>
                <c:ptCount val="1"/>
                <c:pt idx="0">
                  <c:v>Widgets - Sum of UnitsSold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tables'!$I$6:$I$10</c:f>
              <c:numCache>
                <c:formatCode>General</c:formatCode>
                <c:ptCount val="4"/>
                <c:pt idx="0">
                  <c:v>109</c:v>
                </c:pt>
                <c:pt idx="1">
                  <c:v>131</c:v>
                </c:pt>
                <c:pt idx="2">
                  <c:v>98</c:v>
                </c:pt>
                <c:pt idx="3">
                  <c:v>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62511882"/>
        <c:axId val="58735166"/>
      </c:barChart>
      <c:catAx>
        <c:axId val="2625118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735166"/>
        <c:crosses val="autoZero"/>
        <c:auto val="1"/>
        <c:lblAlgn val="ctr"/>
        <c:lblOffset val="100"/>
        <c:noMultiLvlLbl val="0"/>
      </c:catAx>
      <c:valAx>
        <c:axId val="587351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25118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a2feff-bad4-4913-964c-d8a01d635f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[AI-Powered Sales Analytics, KPI &amp; Forecasting Dashboard using Excel and Google Gemini..xlsx]Pivot tables!PivotTable3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tables'!$B$34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tables'!$A$35:$A$47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'Pivot tables'!$B$35:$B$47</c:f>
              <c:numCache>
                <c:formatCode>General</c:formatCode>
                <c:ptCount val="12"/>
                <c:pt idx="0">
                  <c:v>13656.94</c:v>
                </c:pt>
                <c:pt idx="1">
                  <c:v>21072.4</c:v>
                </c:pt>
                <c:pt idx="2">
                  <c:v>14263.05</c:v>
                </c:pt>
                <c:pt idx="3">
                  <c:v>6762.45</c:v>
                </c:pt>
                <c:pt idx="4">
                  <c:v>15367.54</c:v>
                </c:pt>
                <c:pt idx="5">
                  <c:v>12866.31</c:v>
                </c:pt>
                <c:pt idx="6">
                  <c:v>13237.96</c:v>
                </c:pt>
                <c:pt idx="7">
                  <c:v>25642.76</c:v>
                </c:pt>
                <c:pt idx="8">
                  <c:v>11124.54</c:v>
                </c:pt>
                <c:pt idx="9">
                  <c:v>11941.62</c:v>
                </c:pt>
                <c:pt idx="10">
                  <c:v>13166.92</c:v>
                </c:pt>
                <c:pt idx="11">
                  <c:v>3230.48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tables'!$C$34</c:f>
              <c:strCache>
                <c:ptCount val="1"/>
                <c:pt idx="0">
                  <c:v>Sum of Gross_profit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tables'!$A$35:$A$47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'Pivot tables'!$C$35:$C$47</c:f>
              <c:numCache>
                <c:formatCode>General</c:formatCode>
                <c:ptCount val="12"/>
                <c:pt idx="0">
                  <c:v>7527.8</c:v>
                </c:pt>
                <c:pt idx="1">
                  <c:v>9935.86</c:v>
                </c:pt>
                <c:pt idx="2">
                  <c:v>6823.05</c:v>
                </c:pt>
                <c:pt idx="3">
                  <c:v>3124.03</c:v>
                </c:pt>
                <c:pt idx="4">
                  <c:v>7822.45</c:v>
                </c:pt>
                <c:pt idx="5">
                  <c:v>5970.21</c:v>
                </c:pt>
                <c:pt idx="6">
                  <c:v>6285.75</c:v>
                </c:pt>
                <c:pt idx="7">
                  <c:v>12151.83</c:v>
                </c:pt>
                <c:pt idx="8">
                  <c:v>4941.9</c:v>
                </c:pt>
                <c:pt idx="9">
                  <c:v>5850.96</c:v>
                </c:pt>
                <c:pt idx="10">
                  <c:v>6556.59</c:v>
                </c:pt>
                <c:pt idx="11">
                  <c:v>1815.33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50090788"/>
        <c:axId val="69029181"/>
      </c:lineChart>
      <c:catAx>
        <c:axId val="2500907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29181"/>
        <c:crosses val="autoZero"/>
        <c:auto val="1"/>
        <c:lblAlgn val="ctr"/>
        <c:lblOffset val="100"/>
        <c:noMultiLvlLbl val="0"/>
      </c:catAx>
      <c:valAx>
        <c:axId val="690291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00907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609a89-cbb8-43e9-b1eb-dc9f9cf873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[AI-Powered Sales Analytics, KPI &amp; Forecasting Dashboard using Excel and Google Gemini..xlsx]Pivot tables!PivotTable4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tables'!$B$60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tables'!$A$61:$A$65</c:f>
              <c:strCache>
                <c:ptCount val="4"/>
                <c:pt idx="0">
                  <c:v>Accessories</c:v>
                </c:pt>
                <c:pt idx="1">
                  <c:v>Gadgets</c:v>
                </c:pt>
                <c:pt idx="2">
                  <c:v>Tools</c:v>
                </c:pt>
                <c:pt idx="3">
                  <c:v>Widgets</c:v>
                </c:pt>
              </c:strCache>
            </c:strRef>
          </c:cat>
          <c:val>
            <c:numRef>
              <c:f>'Pivot tables'!$B$61:$B$65</c:f>
              <c:numCache>
                <c:formatCode>General</c:formatCode>
                <c:ptCount val="4"/>
                <c:pt idx="0">
                  <c:v>40713.39</c:v>
                </c:pt>
                <c:pt idx="1">
                  <c:v>42009.9</c:v>
                </c:pt>
                <c:pt idx="2">
                  <c:v>49824.98</c:v>
                </c:pt>
                <c:pt idx="3">
                  <c:v>29784.7</c:v>
                </c:pt>
              </c:numCache>
            </c:numRef>
          </c:val>
        </c:ser>
        <c:ser>
          <c:idx val="1"/>
          <c:order val="1"/>
          <c:tx>
            <c:strRef>
              <c:f>'Pivot tables'!$C$60</c:f>
              <c:strCache>
                <c:ptCount val="1"/>
                <c:pt idx="0">
                  <c:v>Sum of COGS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tables'!$A$61:$A$65</c:f>
              <c:strCache>
                <c:ptCount val="4"/>
                <c:pt idx="0">
                  <c:v>Accessories</c:v>
                </c:pt>
                <c:pt idx="1">
                  <c:v>Gadgets</c:v>
                </c:pt>
                <c:pt idx="2">
                  <c:v>Tools</c:v>
                </c:pt>
                <c:pt idx="3">
                  <c:v>Widgets</c:v>
                </c:pt>
              </c:strCache>
            </c:strRef>
          </c:cat>
          <c:val>
            <c:numRef>
              <c:f>'Pivot tables'!$C$61:$C$65</c:f>
              <c:numCache>
                <c:formatCode>General</c:formatCode>
                <c:ptCount val="4"/>
                <c:pt idx="0">
                  <c:v>20703.48</c:v>
                </c:pt>
                <c:pt idx="1">
                  <c:v>20644.86</c:v>
                </c:pt>
                <c:pt idx="2">
                  <c:v>26249.11</c:v>
                </c:pt>
                <c:pt idx="3">
                  <c:v>15929.76</c:v>
                </c:pt>
              </c:numCache>
            </c:numRef>
          </c:val>
        </c:ser>
        <c:ser>
          <c:idx val="2"/>
          <c:order val="2"/>
          <c:tx>
            <c:strRef>
              <c:f>'Pivot tables'!$D$60</c:f>
              <c:strCache>
                <c:ptCount val="1"/>
                <c:pt idx="0">
                  <c:v>Sum of Gross_profit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tables'!$A$61:$A$65</c:f>
              <c:strCache>
                <c:ptCount val="4"/>
                <c:pt idx="0">
                  <c:v>Accessories</c:v>
                </c:pt>
                <c:pt idx="1">
                  <c:v>Gadgets</c:v>
                </c:pt>
                <c:pt idx="2">
                  <c:v>Tools</c:v>
                </c:pt>
                <c:pt idx="3">
                  <c:v>Widgets</c:v>
                </c:pt>
              </c:strCache>
            </c:strRef>
          </c:cat>
          <c:val>
            <c:numRef>
              <c:f>'Pivot tables'!$D$61:$D$65</c:f>
              <c:numCache>
                <c:formatCode>General</c:formatCode>
                <c:ptCount val="4"/>
                <c:pt idx="0">
                  <c:v>20009.91</c:v>
                </c:pt>
                <c:pt idx="1">
                  <c:v>21365.04</c:v>
                </c:pt>
                <c:pt idx="2">
                  <c:v>23575.87</c:v>
                </c:pt>
                <c:pt idx="3">
                  <c:v>13854.94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29091185"/>
        <c:axId val="953682803"/>
      </c:barChart>
      <c:catAx>
        <c:axId val="8290911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682803"/>
        <c:crosses val="autoZero"/>
        <c:auto val="1"/>
        <c:lblAlgn val="ctr"/>
        <c:lblOffset val="100"/>
        <c:noMultiLvlLbl val="0"/>
      </c:catAx>
      <c:valAx>
        <c:axId val="9536828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90911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21b6e7-d2df-488d-8eba-e4504c624bc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[AI-Powered Sales Analytics, KPI &amp; Forecasting Dashboard using Excel and Google Gemini..xlsx]Pivot tables!PivotTable5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tables'!$C$80:$C$82</c:f>
              <c:strCache>
                <c:ptCount val="1"/>
                <c:pt idx="0">
                  <c:v>2024-01 - 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tables'!$C$83:$C$103</c:f>
              <c:numCache>
                <c:formatCode>General</c:formatCode>
                <c:ptCount val="16"/>
                <c:pt idx="0">
                  <c:v>94.84</c:v>
                </c:pt>
                <c:pt idx="2">
                  <c:v>313.56</c:v>
                </c:pt>
                <c:pt idx="3">
                  <c:v>1425.62</c:v>
                </c:pt>
                <c:pt idx="6">
                  <c:v>195.8</c:v>
                </c:pt>
                <c:pt idx="7">
                  <c:v>2252.04</c:v>
                </c:pt>
                <c:pt idx="8">
                  <c:v>1021.8</c:v>
                </c:pt>
                <c:pt idx="10">
                  <c:v>505.36</c:v>
                </c:pt>
                <c:pt idx="11">
                  <c:v>824.01</c:v>
                </c:pt>
                <c:pt idx="12">
                  <c:v>0</c:v>
                </c:pt>
                <c:pt idx="13">
                  <c:v>2284.87</c:v>
                </c:pt>
                <c:pt idx="14">
                  <c:v>4739.04</c:v>
                </c:pt>
              </c:numCache>
            </c:numRef>
          </c:val>
        </c:ser>
        <c:ser>
          <c:idx val="1"/>
          <c:order val="1"/>
          <c:tx>
            <c:strRef>
              <c:f>'Pivot tables'!$D$80:$D$82</c:f>
              <c:strCache>
                <c:ptCount val="1"/>
                <c:pt idx="0">
                  <c:v>2024-01 - Sum of UnitsSold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tables'!$D$83:$D$103</c:f>
              <c:numCache>
                <c:formatCode>General</c:formatCode>
                <c:ptCount val="16"/>
                <c:pt idx="0">
                  <c:v>2</c:v>
                </c:pt>
                <c:pt idx="2">
                  <c:v>12</c:v>
                </c:pt>
                <c:pt idx="3">
                  <c:v>18</c:v>
                </c:pt>
                <c:pt idx="6">
                  <c:v>11</c:v>
                </c:pt>
                <c:pt idx="7">
                  <c:v>45</c:v>
                </c:pt>
                <c:pt idx="8">
                  <c:v>12</c:v>
                </c:pt>
                <c:pt idx="10">
                  <c:v>17</c:v>
                </c:pt>
                <c:pt idx="11">
                  <c:v>11</c:v>
                </c:pt>
                <c:pt idx="12">
                  <c:v>0</c:v>
                </c:pt>
                <c:pt idx="13">
                  <c:v>35</c:v>
                </c:pt>
                <c:pt idx="14">
                  <c:v>51</c:v>
                </c:pt>
              </c:numCache>
            </c:numRef>
          </c:val>
        </c:ser>
        <c:ser>
          <c:idx val="2"/>
          <c:order val="2"/>
          <c:tx>
            <c:strRef>
              <c:f>'Pivot tables'!$E$80:$E$82</c:f>
              <c:strCache>
                <c:ptCount val="1"/>
                <c:pt idx="0">
                  <c:v>2024-02 - Sum of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tables'!$E$83:$E$103</c:f>
              <c:numCache>
                <c:formatCode>General</c:formatCode>
                <c:ptCount val="16"/>
                <c:pt idx="0">
                  <c:v>4818.66</c:v>
                </c:pt>
                <c:pt idx="1">
                  <c:v>3755.62</c:v>
                </c:pt>
                <c:pt idx="2">
                  <c:v>1748.8</c:v>
                </c:pt>
                <c:pt idx="3">
                  <c:v>104.98</c:v>
                </c:pt>
                <c:pt idx="4">
                  <c:v>1321.54</c:v>
                </c:pt>
                <c:pt idx="9">
                  <c:v>4604.4</c:v>
                </c:pt>
                <c:pt idx="12">
                  <c:v>2914.75</c:v>
                </c:pt>
                <c:pt idx="13">
                  <c:v>636.94</c:v>
                </c:pt>
                <c:pt idx="15">
                  <c:v>1166.71</c:v>
                </c:pt>
              </c:numCache>
            </c:numRef>
          </c:val>
        </c:ser>
        <c:ser>
          <c:idx val="3"/>
          <c:order val="3"/>
          <c:tx>
            <c:strRef>
              <c:f>'Pivot tables'!$F$80:$F$82</c:f>
              <c:strCache>
                <c:ptCount val="1"/>
                <c:pt idx="0">
                  <c:v>2024-02 - Sum of UnitsSold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tables'!$F$83:$F$103</c:f>
              <c:numCache>
                <c:formatCode>General</c:formatCode>
                <c:ptCount val="16"/>
                <c:pt idx="0">
                  <c:v>47</c:v>
                </c:pt>
                <c:pt idx="1">
                  <c:v>49</c:v>
                </c:pt>
                <c:pt idx="2">
                  <c:v>20</c:v>
                </c:pt>
                <c:pt idx="3">
                  <c:v>2</c:v>
                </c:pt>
                <c:pt idx="4">
                  <c:v>22</c:v>
                </c:pt>
                <c:pt idx="9">
                  <c:v>45</c:v>
                </c:pt>
                <c:pt idx="12">
                  <c:v>25</c:v>
                </c:pt>
                <c:pt idx="13">
                  <c:v>10</c:v>
                </c:pt>
                <c:pt idx="15">
                  <c:v>17</c:v>
                </c:pt>
              </c:numCache>
            </c:numRef>
          </c:val>
        </c:ser>
        <c:ser>
          <c:idx val="4"/>
          <c:order val="4"/>
          <c:tx>
            <c:strRef>
              <c:f>'Pivot tables'!$G$80:$G$82</c:f>
              <c:strCache>
                <c:ptCount val="1"/>
                <c:pt idx="0">
                  <c:v>2024-03 - Sum of 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tables'!$G$83:$G$103</c:f>
              <c:numCache>
                <c:formatCode>General</c:formatCode>
                <c:ptCount val="16"/>
                <c:pt idx="0">
                  <c:v>1966.96</c:v>
                </c:pt>
                <c:pt idx="1">
                  <c:v>1995.95</c:v>
                </c:pt>
                <c:pt idx="3">
                  <c:v>1637.3</c:v>
                </c:pt>
                <c:pt idx="6">
                  <c:v>1320.41</c:v>
                </c:pt>
                <c:pt idx="7">
                  <c:v>496.26</c:v>
                </c:pt>
                <c:pt idx="8">
                  <c:v>2057.07</c:v>
                </c:pt>
                <c:pt idx="9">
                  <c:v>1305.78</c:v>
                </c:pt>
                <c:pt idx="10">
                  <c:v>0</c:v>
                </c:pt>
                <c:pt idx="12">
                  <c:v>718.78</c:v>
                </c:pt>
                <c:pt idx="14">
                  <c:v>469.54</c:v>
                </c:pt>
                <c:pt idx="15">
                  <c:v>2295</c:v>
                </c:pt>
              </c:numCache>
            </c:numRef>
          </c:val>
        </c:ser>
        <c:ser>
          <c:idx val="5"/>
          <c:order val="5"/>
          <c:tx>
            <c:strRef>
              <c:f>'Pivot tables'!$H$80:$H$82</c:f>
              <c:strCache>
                <c:ptCount val="1"/>
                <c:pt idx="0">
                  <c:v>2024-03 - Sum of UnitsSold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tables'!$H$83:$H$103</c:f>
              <c:numCache>
                <c:formatCode>General</c:formatCode>
                <c:ptCount val="16"/>
                <c:pt idx="0">
                  <c:v>23</c:v>
                </c:pt>
                <c:pt idx="1">
                  <c:v>50</c:v>
                </c:pt>
                <c:pt idx="3">
                  <c:v>21</c:v>
                </c:pt>
                <c:pt idx="6">
                  <c:v>13</c:v>
                </c:pt>
                <c:pt idx="7">
                  <c:v>18</c:v>
                </c:pt>
                <c:pt idx="8">
                  <c:v>41</c:v>
                </c:pt>
                <c:pt idx="9">
                  <c:v>21</c:v>
                </c:pt>
                <c:pt idx="10">
                  <c:v>0</c:v>
                </c:pt>
                <c:pt idx="12">
                  <c:v>18</c:v>
                </c:pt>
                <c:pt idx="14">
                  <c:v>17</c:v>
                </c:pt>
                <c:pt idx="15">
                  <c:v>25</c:v>
                </c:pt>
              </c:numCache>
            </c:numRef>
          </c:val>
        </c:ser>
        <c:ser>
          <c:idx val="6"/>
          <c:order val="6"/>
          <c:tx>
            <c:strRef>
              <c:f>'Pivot tables'!$I$80:$I$82</c:f>
              <c:strCache>
                <c:ptCount val="1"/>
                <c:pt idx="0">
                  <c:v>2024-04 - Sum of Revenue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tables'!$I$83:$I$103</c:f>
              <c:numCache>
                <c:formatCode>General</c:formatCode>
                <c:ptCount val="16"/>
                <c:pt idx="0">
                  <c:v>185.79</c:v>
                </c:pt>
                <c:pt idx="3">
                  <c:v>220.48</c:v>
                </c:pt>
                <c:pt idx="5">
                  <c:v>104.84</c:v>
                </c:pt>
                <c:pt idx="6">
                  <c:v>1180.92</c:v>
                </c:pt>
                <c:pt idx="7">
                  <c:v>778.08</c:v>
                </c:pt>
                <c:pt idx="8">
                  <c:v>881.6</c:v>
                </c:pt>
                <c:pt idx="9">
                  <c:v>1104.6</c:v>
                </c:pt>
                <c:pt idx="12">
                  <c:v>146.12</c:v>
                </c:pt>
                <c:pt idx="13">
                  <c:v>118.84</c:v>
                </c:pt>
                <c:pt idx="14">
                  <c:v>1196.06</c:v>
                </c:pt>
                <c:pt idx="15">
                  <c:v>845.12</c:v>
                </c:pt>
              </c:numCache>
            </c:numRef>
          </c:val>
        </c:ser>
        <c:ser>
          <c:idx val="7"/>
          <c:order val="7"/>
          <c:tx>
            <c:strRef>
              <c:f>'Pivot tables'!$J$80:$J$82</c:f>
              <c:strCache>
                <c:ptCount val="1"/>
                <c:pt idx="0">
                  <c:v>2024-04 - Sum of UnitsSold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tables'!$J$83:$J$103</c:f>
              <c:numCache>
                <c:formatCode>General</c:formatCode>
                <c:ptCount val="16"/>
                <c:pt idx="0">
                  <c:v>11</c:v>
                </c:pt>
                <c:pt idx="3">
                  <c:v>2</c:v>
                </c:pt>
                <c:pt idx="5">
                  <c:v>1</c:v>
                </c:pt>
                <c:pt idx="6">
                  <c:v>13</c:v>
                </c:pt>
                <c:pt idx="7">
                  <c:v>10</c:v>
                </c:pt>
                <c:pt idx="8">
                  <c:v>19</c:v>
                </c:pt>
                <c:pt idx="9">
                  <c:v>14</c:v>
                </c:pt>
                <c:pt idx="12">
                  <c:v>2</c:v>
                </c:pt>
                <c:pt idx="13">
                  <c:v>2</c:v>
                </c:pt>
                <c:pt idx="14">
                  <c:v>29</c:v>
                </c:pt>
                <c:pt idx="15">
                  <c:v>8</c:v>
                </c:pt>
              </c:numCache>
            </c:numRef>
          </c:val>
        </c:ser>
        <c:ser>
          <c:idx val="8"/>
          <c:order val="8"/>
          <c:tx>
            <c:strRef>
              <c:f>'Pivot tables'!$K$80:$K$82</c:f>
              <c:strCache>
                <c:ptCount val="1"/>
                <c:pt idx="0">
                  <c:v>2024-05 - Sum of Revenue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tables'!$K$83:$K$103</c:f>
              <c:numCache>
                <c:formatCode>General</c:formatCode>
                <c:ptCount val="16"/>
                <c:pt idx="0">
                  <c:v>1042.61</c:v>
                </c:pt>
                <c:pt idx="1">
                  <c:v>1972.08</c:v>
                </c:pt>
                <c:pt idx="4">
                  <c:v>36.81</c:v>
                </c:pt>
                <c:pt idx="5">
                  <c:v>2322.23</c:v>
                </c:pt>
                <c:pt idx="8">
                  <c:v>2185.48</c:v>
                </c:pt>
                <c:pt idx="9">
                  <c:v>2751.78</c:v>
                </c:pt>
                <c:pt idx="11">
                  <c:v>1639.12</c:v>
                </c:pt>
                <c:pt idx="12">
                  <c:v>1349.81</c:v>
                </c:pt>
                <c:pt idx="13">
                  <c:v>96.65</c:v>
                </c:pt>
                <c:pt idx="14">
                  <c:v>1520.97</c:v>
                </c:pt>
                <c:pt idx="15">
                  <c:v>450</c:v>
                </c:pt>
              </c:numCache>
            </c:numRef>
          </c:val>
        </c:ser>
        <c:ser>
          <c:idx val="9"/>
          <c:order val="9"/>
          <c:tx>
            <c:strRef>
              <c:f>'Pivot tables'!$L$80:$L$82</c:f>
              <c:strCache>
                <c:ptCount val="1"/>
                <c:pt idx="0">
                  <c:v>2024-05 - Sum of UnitsSold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tables'!$L$83:$L$103</c:f>
              <c:numCache>
                <c:formatCode>General</c:formatCode>
                <c:ptCount val="16"/>
                <c:pt idx="0">
                  <c:v>17</c:v>
                </c:pt>
                <c:pt idx="1">
                  <c:v>22</c:v>
                </c:pt>
                <c:pt idx="4">
                  <c:v>1</c:v>
                </c:pt>
                <c:pt idx="5">
                  <c:v>43</c:v>
                </c:pt>
                <c:pt idx="8">
                  <c:v>22</c:v>
                </c:pt>
                <c:pt idx="9">
                  <c:v>36</c:v>
                </c:pt>
                <c:pt idx="11">
                  <c:v>44</c:v>
                </c:pt>
                <c:pt idx="12">
                  <c:v>31</c:v>
                </c:pt>
                <c:pt idx="13">
                  <c:v>1</c:v>
                </c:pt>
                <c:pt idx="14">
                  <c:v>25</c:v>
                </c:pt>
                <c:pt idx="15">
                  <c:v>6</c:v>
                </c:pt>
              </c:numCache>
            </c:numRef>
          </c:val>
        </c:ser>
        <c:ser>
          <c:idx val="10"/>
          <c:order val="10"/>
          <c:tx>
            <c:strRef>
              <c:f>'Pivot tables'!$M$80:$M$82</c:f>
              <c:strCache>
                <c:ptCount val="1"/>
                <c:pt idx="0">
                  <c:v>2024-06 - Sum of Revenue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tables'!$M$83:$M$103</c:f>
              <c:numCache>
                <c:formatCode>General</c:formatCode>
                <c:ptCount val="16"/>
                <c:pt idx="0">
                  <c:v>401.38</c:v>
                </c:pt>
                <c:pt idx="2">
                  <c:v>725.34</c:v>
                </c:pt>
                <c:pt idx="3">
                  <c:v>0</c:v>
                </c:pt>
                <c:pt idx="4">
                  <c:v>237</c:v>
                </c:pt>
                <c:pt idx="5">
                  <c:v>3090.58</c:v>
                </c:pt>
                <c:pt idx="6">
                  <c:v>536.76</c:v>
                </c:pt>
                <c:pt idx="7">
                  <c:v>1127.84</c:v>
                </c:pt>
                <c:pt idx="8">
                  <c:v>228.96</c:v>
                </c:pt>
                <c:pt idx="9">
                  <c:v>189.54</c:v>
                </c:pt>
                <c:pt idx="11">
                  <c:v>933.3</c:v>
                </c:pt>
                <c:pt idx="13">
                  <c:v>2179.53</c:v>
                </c:pt>
                <c:pt idx="14">
                  <c:v>1491.63</c:v>
                </c:pt>
                <c:pt idx="15">
                  <c:v>1724.45</c:v>
                </c:pt>
              </c:numCache>
            </c:numRef>
          </c:val>
        </c:ser>
        <c:ser>
          <c:idx val="11"/>
          <c:order val="11"/>
          <c:tx>
            <c:strRef>
              <c:f>'Pivot tables'!$N$80:$N$82</c:f>
              <c:strCache>
                <c:ptCount val="1"/>
                <c:pt idx="0">
                  <c:v>2024-06 - Sum of UnitsSold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tables'!$N$83:$N$103</c:f>
              <c:numCache>
                <c:formatCode>General</c:formatCode>
                <c:ptCount val="16"/>
                <c:pt idx="0">
                  <c:v>7</c:v>
                </c:pt>
                <c:pt idx="2">
                  <c:v>14</c:v>
                </c:pt>
                <c:pt idx="3">
                  <c:v>0</c:v>
                </c:pt>
                <c:pt idx="4">
                  <c:v>2</c:v>
                </c:pt>
                <c:pt idx="5">
                  <c:v>51</c:v>
                </c:pt>
                <c:pt idx="6">
                  <c:v>14</c:v>
                </c:pt>
                <c:pt idx="7">
                  <c:v>14</c:v>
                </c:pt>
                <c:pt idx="8">
                  <c:v>2</c:v>
                </c:pt>
                <c:pt idx="9">
                  <c:v>13</c:v>
                </c:pt>
                <c:pt idx="11">
                  <c:v>18</c:v>
                </c:pt>
                <c:pt idx="13">
                  <c:v>24</c:v>
                </c:pt>
                <c:pt idx="14">
                  <c:v>21</c:v>
                </c:pt>
                <c:pt idx="15">
                  <c:v>25</c:v>
                </c:pt>
              </c:numCache>
            </c:numRef>
          </c:val>
        </c:ser>
        <c:ser>
          <c:idx val="12"/>
          <c:order val="12"/>
          <c:tx>
            <c:strRef>
              <c:f>'Pivot tables'!$O$80:$O$82</c:f>
              <c:strCache>
                <c:ptCount val="1"/>
                <c:pt idx="0">
                  <c:v>2024-07 - Sum of Revenue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tables'!$O$83:$O$103</c:f>
              <c:numCache>
                <c:formatCode>General</c:formatCode>
                <c:ptCount val="16"/>
                <c:pt idx="1">
                  <c:v>318.78</c:v>
                </c:pt>
                <c:pt idx="2">
                  <c:v>1571.55</c:v>
                </c:pt>
                <c:pt idx="4">
                  <c:v>1663.7</c:v>
                </c:pt>
                <c:pt idx="5">
                  <c:v>1504.51</c:v>
                </c:pt>
                <c:pt idx="8">
                  <c:v>422</c:v>
                </c:pt>
                <c:pt idx="10">
                  <c:v>1764.91</c:v>
                </c:pt>
                <c:pt idx="11">
                  <c:v>959.85</c:v>
                </c:pt>
                <c:pt idx="12">
                  <c:v>741.76</c:v>
                </c:pt>
                <c:pt idx="14">
                  <c:v>2716.81</c:v>
                </c:pt>
                <c:pt idx="15">
                  <c:v>1574.09</c:v>
                </c:pt>
              </c:numCache>
            </c:numRef>
          </c:val>
        </c:ser>
        <c:ser>
          <c:idx val="13"/>
          <c:order val="13"/>
          <c:tx>
            <c:strRef>
              <c:f>'Pivot tables'!$P$80:$P$82</c:f>
              <c:strCache>
                <c:ptCount val="1"/>
                <c:pt idx="0">
                  <c:v>2024-07 - Sum of UnitsSold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tables'!$P$83:$P$103</c:f>
              <c:numCache>
                <c:formatCode>General</c:formatCode>
                <c:ptCount val="16"/>
                <c:pt idx="1">
                  <c:v>14</c:v>
                </c:pt>
                <c:pt idx="2">
                  <c:v>41</c:v>
                </c:pt>
                <c:pt idx="4">
                  <c:v>30</c:v>
                </c:pt>
                <c:pt idx="5">
                  <c:v>23</c:v>
                </c:pt>
                <c:pt idx="8">
                  <c:v>20</c:v>
                </c:pt>
                <c:pt idx="10">
                  <c:v>19</c:v>
                </c:pt>
                <c:pt idx="11">
                  <c:v>15</c:v>
                </c:pt>
                <c:pt idx="12">
                  <c:v>19</c:v>
                </c:pt>
                <c:pt idx="14">
                  <c:v>49</c:v>
                </c:pt>
                <c:pt idx="15">
                  <c:v>32</c:v>
                </c:pt>
              </c:numCache>
            </c:numRef>
          </c:val>
        </c:ser>
        <c:ser>
          <c:idx val="14"/>
          <c:order val="14"/>
          <c:tx>
            <c:strRef>
              <c:f>'Pivot tables'!$Q$80:$Q$82</c:f>
              <c:strCache>
                <c:ptCount val="1"/>
                <c:pt idx="0">
                  <c:v>2024-08 - Sum of Revenue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tables'!$Q$83:$Q$103</c:f>
              <c:numCache>
                <c:formatCode>General</c:formatCode>
                <c:ptCount val="16"/>
                <c:pt idx="1">
                  <c:v>814.66</c:v>
                </c:pt>
                <c:pt idx="2">
                  <c:v>3916.5</c:v>
                </c:pt>
                <c:pt idx="3">
                  <c:v>283.23</c:v>
                </c:pt>
                <c:pt idx="4">
                  <c:v>5077.39</c:v>
                </c:pt>
                <c:pt idx="5">
                  <c:v>1880.8</c:v>
                </c:pt>
                <c:pt idx="6">
                  <c:v>1117.4</c:v>
                </c:pt>
                <c:pt idx="8">
                  <c:v>4269.26</c:v>
                </c:pt>
                <c:pt idx="10">
                  <c:v>1392.95</c:v>
                </c:pt>
                <c:pt idx="11">
                  <c:v>666.64</c:v>
                </c:pt>
                <c:pt idx="12">
                  <c:v>1512.68</c:v>
                </c:pt>
                <c:pt idx="13">
                  <c:v>3292</c:v>
                </c:pt>
                <c:pt idx="15">
                  <c:v>1419.25</c:v>
                </c:pt>
              </c:numCache>
            </c:numRef>
          </c:val>
        </c:ser>
        <c:ser>
          <c:idx val="15"/>
          <c:order val="15"/>
          <c:tx>
            <c:strRef>
              <c:f>'Pivot tables'!$R$80:$R$82</c:f>
              <c:strCache>
                <c:ptCount val="1"/>
                <c:pt idx="0">
                  <c:v>2024-08 - Sum of UnitsSold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tables'!$R$83:$R$103</c:f>
              <c:numCache>
                <c:formatCode>General</c:formatCode>
                <c:ptCount val="16"/>
                <c:pt idx="1">
                  <c:v>32</c:v>
                </c:pt>
                <c:pt idx="2">
                  <c:v>48</c:v>
                </c:pt>
                <c:pt idx="3">
                  <c:v>9</c:v>
                </c:pt>
                <c:pt idx="4">
                  <c:v>52</c:v>
                </c:pt>
                <c:pt idx="5">
                  <c:v>20</c:v>
                </c:pt>
                <c:pt idx="6">
                  <c:v>20</c:v>
                </c:pt>
                <c:pt idx="8">
                  <c:v>43</c:v>
                </c:pt>
                <c:pt idx="10">
                  <c:v>35</c:v>
                </c:pt>
                <c:pt idx="11">
                  <c:v>8</c:v>
                </c:pt>
                <c:pt idx="12">
                  <c:v>13</c:v>
                </c:pt>
                <c:pt idx="13">
                  <c:v>59</c:v>
                </c:pt>
                <c:pt idx="15">
                  <c:v>14</c:v>
                </c:pt>
              </c:numCache>
            </c:numRef>
          </c:val>
        </c:ser>
        <c:ser>
          <c:idx val="16"/>
          <c:order val="16"/>
          <c:tx>
            <c:strRef>
              <c:f>'Pivot tables'!$S$80:$S$82</c:f>
              <c:strCache>
                <c:ptCount val="1"/>
                <c:pt idx="0">
                  <c:v>2024-09 - Sum of Revenue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tables'!$S$83:$S$103</c:f>
              <c:numCache>
                <c:formatCode>General</c:formatCode>
                <c:ptCount val="16"/>
                <c:pt idx="0">
                  <c:v>147.46</c:v>
                </c:pt>
                <c:pt idx="3">
                  <c:v>519.5</c:v>
                </c:pt>
                <c:pt idx="4">
                  <c:v>449.28</c:v>
                </c:pt>
                <c:pt idx="5">
                  <c:v>2383.26</c:v>
                </c:pt>
                <c:pt idx="6">
                  <c:v>3335.53</c:v>
                </c:pt>
                <c:pt idx="7">
                  <c:v>1481.66</c:v>
                </c:pt>
                <c:pt idx="8">
                  <c:v>516.25</c:v>
                </c:pt>
                <c:pt idx="10">
                  <c:v>1283.2</c:v>
                </c:pt>
                <c:pt idx="12">
                  <c:v>65.64</c:v>
                </c:pt>
                <c:pt idx="15">
                  <c:v>942.76</c:v>
                </c:pt>
              </c:numCache>
            </c:numRef>
          </c:val>
        </c:ser>
        <c:ser>
          <c:idx val="17"/>
          <c:order val="17"/>
          <c:tx>
            <c:strRef>
              <c:f>'Pivot tables'!$T$80:$T$82</c:f>
              <c:strCache>
                <c:ptCount val="1"/>
                <c:pt idx="0">
                  <c:v>2024-09 - Sum of UnitsSold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tables'!$T$83:$T$103</c:f>
              <c:numCache>
                <c:formatCode>General</c:formatCode>
                <c:ptCount val="16"/>
                <c:pt idx="0">
                  <c:v>2</c:v>
                </c:pt>
                <c:pt idx="3">
                  <c:v>28</c:v>
                </c:pt>
                <c:pt idx="4">
                  <c:v>16</c:v>
                </c:pt>
                <c:pt idx="5">
                  <c:v>39</c:v>
                </c:pt>
                <c:pt idx="6">
                  <c:v>56</c:v>
                </c:pt>
                <c:pt idx="7">
                  <c:v>20</c:v>
                </c:pt>
                <c:pt idx="8">
                  <c:v>7</c:v>
                </c:pt>
                <c:pt idx="10">
                  <c:v>28</c:v>
                </c:pt>
                <c:pt idx="12">
                  <c:v>3</c:v>
                </c:pt>
                <c:pt idx="15">
                  <c:v>26</c:v>
                </c:pt>
              </c:numCache>
            </c:numRef>
          </c:val>
        </c:ser>
        <c:ser>
          <c:idx val="18"/>
          <c:order val="18"/>
          <c:tx>
            <c:strRef>
              <c:f>'Pivot tables'!$U$80:$U$82</c:f>
              <c:strCache>
                <c:ptCount val="1"/>
                <c:pt idx="0">
                  <c:v>2024-10 - Sum of Revenue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tables'!$U$83:$U$103</c:f>
              <c:numCache>
                <c:formatCode>General</c:formatCode>
                <c:ptCount val="16"/>
                <c:pt idx="0">
                  <c:v>504.6</c:v>
                </c:pt>
                <c:pt idx="2">
                  <c:v>1792.72</c:v>
                </c:pt>
                <c:pt idx="5">
                  <c:v>383.1</c:v>
                </c:pt>
                <c:pt idx="6">
                  <c:v>3636.07</c:v>
                </c:pt>
                <c:pt idx="8">
                  <c:v>1968.07</c:v>
                </c:pt>
                <c:pt idx="9">
                  <c:v>169.84</c:v>
                </c:pt>
                <c:pt idx="10">
                  <c:v>234.88</c:v>
                </c:pt>
                <c:pt idx="13">
                  <c:v>931.96</c:v>
                </c:pt>
                <c:pt idx="14">
                  <c:v>2281.11</c:v>
                </c:pt>
                <c:pt idx="15">
                  <c:v>39.27</c:v>
                </c:pt>
              </c:numCache>
            </c:numRef>
          </c:val>
        </c:ser>
        <c:ser>
          <c:idx val="19"/>
          <c:order val="19"/>
          <c:tx>
            <c:strRef>
              <c:f>'Pivot tables'!$V$80:$V$82</c:f>
              <c:strCache>
                <c:ptCount val="1"/>
                <c:pt idx="0">
                  <c:v>2024-10 - Sum of UnitsSold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tables'!$V$83:$V$103</c:f>
              <c:numCache>
                <c:formatCode>General</c:formatCode>
                <c:ptCount val="16"/>
                <c:pt idx="0">
                  <c:v>12</c:v>
                </c:pt>
                <c:pt idx="2">
                  <c:v>26</c:v>
                </c:pt>
                <c:pt idx="5">
                  <c:v>10</c:v>
                </c:pt>
                <c:pt idx="6">
                  <c:v>39</c:v>
                </c:pt>
                <c:pt idx="8">
                  <c:v>29</c:v>
                </c:pt>
                <c:pt idx="9">
                  <c:v>2</c:v>
                </c:pt>
                <c:pt idx="10">
                  <c:v>4</c:v>
                </c:pt>
                <c:pt idx="13">
                  <c:v>11</c:v>
                </c:pt>
                <c:pt idx="14">
                  <c:v>32</c:v>
                </c:pt>
                <c:pt idx="15">
                  <c:v>1</c:v>
                </c:pt>
              </c:numCache>
            </c:numRef>
          </c:val>
        </c:ser>
        <c:ser>
          <c:idx val="20"/>
          <c:order val="20"/>
          <c:tx>
            <c:strRef>
              <c:f>'Pivot tables'!$W$80:$W$82</c:f>
              <c:strCache>
                <c:ptCount val="1"/>
                <c:pt idx="0">
                  <c:v>2024-11 - Sum of Revenue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tables'!$W$83:$W$103</c:f>
              <c:numCache>
                <c:formatCode>General</c:formatCode>
                <c:ptCount val="16"/>
                <c:pt idx="0">
                  <c:v>1305.09</c:v>
                </c:pt>
                <c:pt idx="1">
                  <c:v>613.03</c:v>
                </c:pt>
                <c:pt idx="3">
                  <c:v>2433.64</c:v>
                </c:pt>
                <c:pt idx="5">
                  <c:v>15.22</c:v>
                </c:pt>
                <c:pt idx="6">
                  <c:v>1915.68</c:v>
                </c:pt>
                <c:pt idx="7">
                  <c:v>703.44</c:v>
                </c:pt>
                <c:pt idx="9">
                  <c:v>619.29</c:v>
                </c:pt>
                <c:pt idx="10">
                  <c:v>4076.61</c:v>
                </c:pt>
                <c:pt idx="11">
                  <c:v>213.92</c:v>
                </c:pt>
                <c:pt idx="14">
                  <c:v>643.86</c:v>
                </c:pt>
                <c:pt idx="15">
                  <c:v>627.14</c:v>
                </c:pt>
              </c:numCache>
            </c:numRef>
          </c:val>
        </c:ser>
        <c:ser>
          <c:idx val="21"/>
          <c:order val="21"/>
          <c:tx>
            <c:strRef>
              <c:f>'Pivot tables'!$X$80:$X$82</c:f>
              <c:strCache>
                <c:ptCount val="1"/>
                <c:pt idx="0">
                  <c:v>2024-11 - Sum of UnitsSold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tables'!$X$83:$X$103</c:f>
              <c:numCache>
                <c:formatCode>General</c:formatCode>
                <c:ptCount val="16"/>
                <c:pt idx="0">
                  <c:v>21</c:v>
                </c:pt>
                <c:pt idx="1">
                  <c:v>25</c:v>
                </c:pt>
                <c:pt idx="3">
                  <c:v>29</c:v>
                </c:pt>
                <c:pt idx="5">
                  <c:v>1</c:v>
                </c:pt>
                <c:pt idx="6">
                  <c:v>24</c:v>
                </c:pt>
                <c:pt idx="7">
                  <c:v>24</c:v>
                </c:pt>
                <c:pt idx="9">
                  <c:v>6</c:v>
                </c:pt>
                <c:pt idx="10">
                  <c:v>64</c:v>
                </c:pt>
                <c:pt idx="11">
                  <c:v>2</c:v>
                </c:pt>
                <c:pt idx="14">
                  <c:v>21</c:v>
                </c:pt>
                <c:pt idx="15">
                  <c:v>28</c:v>
                </c:pt>
              </c:numCache>
            </c:numRef>
          </c:val>
        </c:ser>
        <c:ser>
          <c:idx val="22"/>
          <c:order val="22"/>
          <c:tx>
            <c:strRef>
              <c:f>'Pivot tables'!$Y$80:$Y$82</c:f>
              <c:strCache>
                <c:ptCount val="1"/>
                <c:pt idx="0">
                  <c:v>2024-12 - Sum of Revenue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tables'!$Y$83:$Y$103</c:f>
              <c:numCache>
                <c:formatCode>General</c:formatCode>
                <c:ptCount val="16"/>
                <c:pt idx="5">
                  <c:v>569.22</c:v>
                </c:pt>
                <c:pt idx="6">
                  <c:v>2201.01</c:v>
                </c:pt>
                <c:pt idx="8">
                  <c:v>460.25</c:v>
                </c:pt>
              </c:numCache>
            </c:numRef>
          </c:val>
        </c:ser>
        <c:ser>
          <c:idx val="23"/>
          <c:order val="23"/>
          <c:tx>
            <c:strRef>
              <c:f>'Pivot tables'!$Z$80:$Z$82</c:f>
              <c:strCache>
                <c:ptCount val="1"/>
                <c:pt idx="0">
                  <c:v>2024-12 - Sum of UnitsSold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tables'!$Z$83:$Z$103</c:f>
              <c:numCache>
                <c:formatCode>General</c:formatCode>
                <c:ptCount val="16"/>
                <c:pt idx="5">
                  <c:v>6</c:v>
                </c:pt>
                <c:pt idx="6">
                  <c:v>21</c:v>
                </c:pt>
                <c:pt idx="8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959236605"/>
        <c:axId val="95399429"/>
      </c:barChart>
      <c:catAx>
        <c:axId val="95923660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99429"/>
        <c:crosses val="autoZero"/>
        <c:auto val="1"/>
        <c:lblAlgn val="ctr"/>
        <c:lblOffset val="100"/>
        <c:noMultiLvlLbl val="0"/>
      </c:catAx>
      <c:valAx>
        <c:axId val="9539942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92366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bd3e5e-1b1b-4788-a181-afe59d22e03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[AI-Powered Sales Analytics, KPI &amp; Forecasting Dashboard using Excel and Google Gemini..xlsx]Pivot tables!PivotTable2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tables'!$B$3:$B$5</c:f>
              <c:strCache>
                <c:ptCount val="1"/>
                <c:pt idx="0">
                  <c:v>Accessories - 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tables'!$B$6:$B$10</c:f>
              <c:numCache>
                <c:formatCode>General</c:formatCode>
                <c:ptCount val="4"/>
                <c:pt idx="0">
                  <c:v>10467.39</c:v>
                </c:pt>
                <c:pt idx="1">
                  <c:v>8785.72</c:v>
                </c:pt>
                <c:pt idx="2">
                  <c:v>14010.74</c:v>
                </c:pt>
                <c:pt idx="3">
                  <c:v>7449.54</c:v>
                </c:pt>
              </c:numCache>
            </c:numRef>
          </c:val>
        </c:ser>
        <c:ser>
          <c:idx val="1"/>
          <c:order val="1"/>
          <c:tx>
            <c:strRef>
              <c:f>'Pivot tables'!$C$3:$C$5</c:f>
              <c:strCache>
                <c:ptCount val="1"/>
                <c:pt idx="0">
                  <c:v>Accessories - Sum of UnitsSold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tables'!$C$6:$C$10</c:f>
              <c:numCache>
                <c:formatCode>General</c:formatCode>
                <c:ptCount val="4"/>
                <c:pt idx="0">
                  <c:v>142</c:v>
                </c:pt>
                <c:pt idx="1">
                  <c:v>123</c:v>
                </c:pt>
                <c:pt idx="2">
                  <c:v>220</c:v>
                </c:pt>
                <c:pt idx="3">
                  <c:v>111</c:v>
                </c:pt>
              </c:numCache>
            </c:numRef>
          </c:val>
        </c:ser>
        <c:ser>
          <c:idx val="2"/>
          <c:order val="2"/>
          <c:tx>
            <c:strRef>
              <c:f>'Pivot tables'!$D$3:$D$5</c:f>
              <c:strCache>
                <c:ptCount val="1"/>
                <c:pt idx="0">
                  <c:v>Gadgets - Sum of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tables'!$D$6:$D$10</c:f>
              <c:numCache>
                <c:formatCode>General</c:formatCode>
                <c:ptCount val="4"/>
                <c:pt idx="0">
                  <c:v>9470.12</c:v>
                </c:pt>
                <c:pt idx="1">
                  <c:v>12253.76</c:v>
                </c:pt>
                <c:pt idx="2">
                  <c:v>10745.23</c:v>
                </c:pt>
                <c:pt idx="3">
                  <c:v>9540.79</c:v>
                </c:pt>
              </c:numCache>
            </c:numRef>
          </c:val>
        </c:ser>
        <c:ser>
          <c:idx val="3"/>
          <c:order val="3"/>
          <c:tx>
            <c:strRef>
              <c:f>'Pivot tables'!$E$3:$E$5</c:f>
              <c:strCache>
                <c:ptCount val="1"/>
                <c:pt idx="0">
                  <c:v>Gadgets - Sum of UnitsSold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tables'!$E$6:$E$10</c:f>
              <c:numCache>
                <c:formatCode>General</c:formatCode>
                <c:ptCount val="4"/>
                <c:pt idx="0">
                  <c:v>192</c:v>
                </c:pt>
                <c:pt idx="1">
                  <c:v>194</c:v>
                </c:pt>
                <c:pt idx="2">
                  <c:v>137</c:v>
                </c:pt>
                <c:pt idx="3">
                  <c:v>142</c:v>
                </c:pt>
              </c:numCache>
            </c:numRef>
          </c:val>
        </c:ser>
        <c:ser>
          <c:idx val="4"/>
          <c:order val="4"/>
          <c:tx>
            <c:strRef>
              <c:f>'Pivot tables'!$F$3:$F$5</c:f>
              <c:strCache>
                <c:ptCount val="1"/>
                <c:pt idx="0">
                  <c:v>Tools - Sum of 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tables'!$F$6:$F$10</c:f>
              <c:numCache>
                <c:formatCode>General</c:formatCode>
                <c:ptCount val="4"/>
                <c:pt idx="0">
                  <c:v>10068.47</c:v>
                </c:pt>
                <c:pt idx="1">
                  <c:v>15439.58</c:v>
                </c:pt>
                <c:pt idx="2">
                  <c:v>9257.91</c:v>
                </c:pt>
                <c:pt idx="3">
                  <c:v>15059.02</c:v>
                </c:pt>
              </c:numCache>
            </c:numRef>
          </c:val>
        </c:ser>
        <c:ser>
          <c:idx val="5"/>
          <c:order val="5"/>
          <c:tx>
            <c:strRef>
              <c:f>'Pivot tables'!$G$3:$G$5</c:f>
              <c:strCache>
                <c:ptCount val="1"/>
                <c:pt idx="0">
                  <c:v>Tools - Sum of UnitsSold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tables'!$G$6:$G$10</c:f>
              <c:numCache>
                <c:formatCode>General</c:formatCode>
                <c:ptCount val="4"/>
                <c:pt idx="0">
                  <c:v>161</c:v>
                </c:pt>
                <c:pt idx="1">
                  <c:v>211</c:v>
                </c:pt>
                <c:pt idx="2">
                  <c:v>167</c:v>
                </c:pt>
                <c:pt idx="3">
                  <c:v>245</c:v>
                </c:pt>
              </c:numCache>
            </c:numRef>
          </c:val>
        </c:ser>
        <c:ser>
          <c:idx val="6"/>
          <c:order val="6"/>
          <c:tx>
            <c:strRef>
              <c:f>'Pivot tables'!$H$3:$H$5</c:f>
              <c:strCache>
                <c:ptCount val="1"/>
                <c:pt idx="0">
                  <c:v>Widgets - Sum of Revenue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tables'!$H$6:$H$10</c:f>
              <c:numCache>
                <c:formatCode>General</c:formatCode>
                <c:ptCount val="4"/>
                <c:pt idx="0">
                  <c:v>6624.75</c:v>
                </c:pt>
                <c:pt idx="1">
                  <c:v>6839.32</c:v>
                </c:pt>
                <c:pt idx="2">
                  <c:v>5236.84</c:v>
                </c:pt>
                <c:pt idx="3">
                  <c:v>11083.79</c:v>
                </c:pt>
              </c:numCache>
            </c:numRef>
          </c:val>
        </c:ser>
        <c:ser>
          <c:idx val="7"/>
          <c:order val="7"/>
          <c:tx>
            <c:strRef>
              <c:f>'Pivot tables'!$I$3:$I$5</c:f>
              <c:strCache>
                <c:ptCount val="1"/>
                <c:pt idx="0">
                  <c:v>Widgets - Sum of UnitsSold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tables'!$I$6:$I$10</c:f>
              <c:numCache>
                <c:formatCode>General</c:formatCode>
                <c:ptCount val="4"/>
                <c:pt idx="0">
                  <c:v>109</c:v>
                </c:pt>
                <c:pt idx="1">
                  <c:v>131</c:v>
                </c:pt>
                <c:pt idx="2">
                  <c:v>98</c:v>
                </c:pt>
                <c:pt idx="3">
                  <c:v>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62511882"/>
        <c:axId val="58735166"/>
      </c:barChart>
      <c:catAx>
        <c:axId val="26251188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735166"/>
        <c:crosses val="autoZero"/>
        <c:auto val="1"/>
        <c:lblAlgn val="ctr"/>
        <c:lblOffset val="100"/>
        <c:noMultiLvlLbl val="0"/>
      </c:catAx>
      <c:valAx>
        <c:axId val="5873516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25118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a2feff-bad4-4913-964c-d8a01d635f23}"/>
      </c:ext>
    </c:extLst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[AI-Powered Sales Analytics, KPI &amp; Forecasting Dashboard using Excel and Google Gemini..xlsx]Pivot tables!PivotTable3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tables'!$B$34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tables'!$A$35:$A$47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'Pivot tables'!$B$35:$B$47</c:f>
              <c:numCache>
                <c:formatCode>General</c:formatCode>
                <c:ptCount val="12"/>
                <c:pt idx="0">
                  <c:v>13656.94</c:v>
                </c:pt>
                <c:pt idx="1">
                  <c:v>21072.4</c:v>
                </c:pt>
                <c:pt idx="2">
                  <c:v>14263.05</c:v>
                </c:pt>
                <c:pt idx="3">
                  <c:v>6762.45</c:v>
                </c:pt>
                <c:pt idx="4">
                  <c:v>15367.54</c:v>
                </c:pt>
                <c:pt idx="5">
                  <c:v>12866.31</c:v>
                </c:pt>
                <c:pt idx="6">
                  <c:v>13237.96</c:v>
                </c:pt>
                <c:pt idx="7">
                  <c:v>25642.76</c:v>
                </c:pt>
                <c:pt idx="8">
                  <c:v>11124.54</c:v>
                </c:pt>
                <c:pt idx="9">
                  <c:v>11941.62</c:v>
                </c:pt>
                <c:pt idx="10">
                  <c:v>13166.92</c:v>
                </c:pt>
                <c:pt idx="11">
                  <c:v>3230.48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tables'!$C$34</c:f>
              <c:strCache>
                <c:ptCount val="1"/>
                <c:pt idx="0">
                  <c:v>Sum of Gross_profit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tables'!$A$35:$A$47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'Pivot tables'!$C$35:$C$47</c:f>
              <c:numCache>
                <c:formatCode>General</c:formatCode>
                <c:ptCount val="12"/>
                <c:pt idx="0">
                  <c:v>7527.8</c:v>
                </c:pt>
                <c:pt idx="1">
                  <c:v>9935.86</c:v>
                </c:pt>
                <c:pt idx="2">
                  <c:v>6823.05</c:v>
                </c:pt>
                <c:pt idx="3">
                  <c:v>3124.03</c:v>
                </c:pt>
                <c:pt idx="4">
                  <c:v>7822.45</c:v>
                </c:pt>
                <c:pt idx="5">
                  <c:v>5970.21</c:v>
                </c:pt>
                <c:pt idx="6">
                  <c:v>6285.75</c:v>
                </c:pt>
                <c:pt idx="7">
                  <c:v>12151.83</c:v>
                </c:pt>
                <c:pt idx="8">
                  <c:v>4941.9</c:v>
                </c:pt>
                <c:pt idx="9">
                  <c:v>5850.96</c:v>
                </c:pt>
                <c:pt idx="10">
                  <c:v>6556.59</c:v>
                </c:pt>
                <c:pt idx="11">
                  <c:v>1815.33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090788"/>
        <c:axId val="69029181"/>
      </c:lineChart>
      <c:catAx>
        <c:axId val="2500907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29181"/>
        <c:crosses val="autoZero"/>
        <c:auto val="1"/>
        <c:lblAlgn val="ctr"/>
        <c:lblOffset val="100"/>
        <c:noMultiLvlLbl val="0"/>
      </c:catAx>
      <c:valAx>
        <c:axId val="6902918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00907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193008370261"/>
          <c:y val="0.37408528892253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609a89-cbb8-43e9-b1eb-dc9f9cf873e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[AI-Powered Sales Analytics, KPI &amp; Forecasting Dashboard using Excel and Google Gemini..xlsx]Pivot tables!PivotTable4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tables'!$B$60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tables'!$A$61:$A$65</c:f>
              <c:strCache>
                <c:ptCount val="4"/>
                <c:pt idx="0">
                  <c:v>Accessories</c:v>
                </c:pt>
                <c:pt idx="1">
                  <c:v>Gadgets</c:v>
                </c:pt>
                <c:pt idx="2">
                  <c:v>Tools</c:v>
                </c:pt>
                <c:pt idx="3">
                  <c:v>Widgets</c:v>
                </c:pt>
              </c:strCache>
            </c:strRef>
          </c:cat>
          <c:val>
            <c:numRef>
              <c:f>'Pivot tables'!$B$61:$B$65</c:f>
              <c:numCache>
                <c:formatCode>General</c:formatCode>
                <c:ptCount val="4"/>
                <c:pt idx="0">
                  <c:v>40713.39</c:v>
                </c:pt>
                <c:pt idx="1">
                  <c:v>42009.9</c:v>
                </c:pt>
                <c:pt idx="2">
                  <c:v>49824.98</c:v>
                </c:pt>
                <c:pt idx="3">
                  <c:v>29784.7</c:v>
                </c:pt>
              </c:numCache>
            </c:numRef>
          </c:val>
        </c:ser>
        <c:ser>
          <c:idx val="1"/>
          <c:order val="1"/>
          <c:tx>
            <c:strRef>
              <c:f>'Pivot tables'!$C$60</c:f>
              <c:strCache>
                <c:ptCount val="1"/>
                <c:pt idx="0">
                  <c:v>Sum of COGS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tables'!$A$61:$A$65</c:f>
              <c:strCache>
                <c:ptCount val="4"/>
                <c:pt idx="0">
                  <c:v>Accessories</c:v>
                </c:pt>
                <c:pt idx="1">
                  <c:v>Gadgets</c:v>
                </c:pt>
                <c:pt idx="2">
                  <c:v>Tools</c:v>
                </c:pt>
                <c:pt idx="3">
                  <c:v>Widgets</c:v>
                </c:pt>
              </c:strCache>
            </c:strRef>
          </c:cat>
          <c:val>
            <c:numRef>
              <c:f>'Pivot tables'!$C$61:$C$65</c:f>
              <c:numCache>
                <c:formatCode>General</c:formatCode>
                <c:ptCount val="4"/>
                <c:pt idx="0">
                  <c:v>20703.48</c:v>
                </c:pt>
                <c:pt idx="1">
                  <c:v>20644.86</c:v>
                </c:pt>
                <c:pt idx="2">
                  <c:v>26249.11</c:v>
                </c:pt>
                <c:pt idx="3">
                  <c:v>15929.76</c:v>
                </c:pt>
              </c:numCache>
            </c:numRef>
          </c:val>
        </c:ser>
        <c:ser>
          <c:idx val="2"/>
          <c:order val="2"/>
          <c:tx>
            <c:strRef>
              <c:f>'Pivot tables'!$D$60</c:f>
              <c:strCache>
                <c:ptCount val="1"/>
                <c:pt idx="0">
                  <c:v>Sum of Gross_profit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tables'!$A$61:$A$65</c:f>
              <c:strCache>
                <c:ptCount val="4"/>
                <c:pt idx="0">
                  <c:v>Accessories</c:v>
                </c:pt>
                <c:pt idx="1">
                  <c:v>Gadgets</c:v>
                </c:pt>
                <c:pt idx="2">
                  <c:v>Tools</c:v>
                </c:pt>
                <c:pt idx="3">
                  <c:v>Widgets</c:v>
                </c:pt>
              </c:strCache>
            </c:strRef>
          </c:cat>
          <c:val>
            <c:numRef>
              <c:f>'Pivot tables'!$D$61:$D$65</c:f>
              <c:numCache>
                <c:formatCode>General</c:formatCode>
                <c:ptCount val="4"/>
                <c:pt idx="0">
                  <c:v>20009.91</c:v>
                </c:pt>
                <c:pt idx="1">
                  <c:v>21365.04</c:v>
                </c:pt>
                <c:pt idx="2">
                  <c:v>23575.87</c:v>
                </c:pt>
                <c:pt idx="3">
                  <c:v>13854.94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29091185"/>
        <c:axId val="953682803"/>
      </c:barChart>
      <c:catAx>
        <c:axId val="8290911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682803"/>
        <c:crosses val="autoZero"/>
        <c:auto val="1"/>
        <c:lblAlgn val="ctr"/>
        <c:lblOffset val="100"/>
        <c:noMultiLvlLbl val="0"/>
      </c:catAx>
      <c:valAx>
        <c:axId val="9536828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909118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321b6e7-d2df-488d-8eba-e4504c624bc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[AI-Powered Sales Analytics, KPI &amp; Forecasting Dashboard using Excel and Google Gemini..xlsx]Pivot tables!PivotTable5</c:name>
    <c:fmtId val="4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tables'!$C$80:$C$82</c:f>
              <c:strCache>
                <c:ptCount val="1"/>
                <c:pt idx="0">
                  <c:v>2024-01 - 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tables'!$C$83:$C$103</c:f>
              <c:numCache>
                <c:formatCode>General</c:formatCode>
                <c:ptCount val="16"/>
                <c:pt idx="0">
                  <c:v>94.84</c:v>
                </c:pt>
                <c:pt idx="2">
                  <c:v>313.56</c:v>
                </c:pt>
                <c:pt idx="3">
                  <c:v>1425.62</c:v>
                </c:pt>
                <c:pt idx="6">
                  <c:v>195.8</c:v>
                </c:pt>
                <c:pt idx="7">
                  <c:v>2252.04</c:v>
                </c:pt>
                <c:pt idx="8">
                  <c:v>1021.8</c:v>
                </c:pt>
                <c:pt idx="10">
                  <c:v>505.36</c:v>
                </c:pt>
                <c:pt idx="11">
                  <c:v>824.01</c:v>
                </c:pt>
                <c:pt idx="12">
                  <c:v>0</c:v>
                </c:pt>
                <c:pt idx="13">
                  <c:v>2284.87</c:v>
                </c:pt>
                <c:pt idx="14">
                  <c:v>4739.04</c:v>
                </c:pt>
              </c:numCache>
            </c:numRef>
          </c:val>
        </c:ser>
        <c:ser>
          <c:idx val="1"/>
          <c:order val="1"/>
          <c:tx>
            <c:strRef>
              <c:f>'Pivot tables'!$D$80:$D$82</c:f>
              <c:strCache>
                <c:ptCount val="1"/>
                <c:pt idx="0">
                  <c:v>2024-01 - Sum of UnitsSold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tables'!$D$83:$D$103</c:f>
              <c:numCache>
                <c:formatCode>General</c:formatCode>
                <c:ptCount val="16"/>
                <c:pt idx="0">
                  <c:v>2</c:v>
                </c:pt>
                <c:pt idx="2">
                  <c:v>12</c:v>
                </c:pt>
                <c:pt idx="3">
                  <c:v>18</c:v>
                </c:pt>
                <c:pt idx="6">
                  <c:v>11</c:v>
                </c:pt>
                <c:pt idx="7">
                  <c:v>45</c:v>
                </c:pt>
                <c:pt idx="8">
                  <c:v>12</c:v>
                </c:pt>
                <c:pt idx="10">
                  <c:v>17</c:v>
                </c:pt>
                <c:pt idx="11">
                  <c:v>11</c:v>
                </c:pt>
                <c:pt idx="12">
                  <c:v>0</c:v>
                </c:pt>
                <c:pt idx="13">
                  <c:v>35</c:v>
                </c:pt>
                <c:pt idx="14">
                  <c:v>51</c:v>
                </c:pt>
              </c:numCache>
            </c:numRef>
          </c:val>
        </c:ser>
        <c:ser>
          <c:idx val="2"/>
          <c:order val="2"/>
          <c:tx>
            <c:strRef>
              <c:f>'Pivot tables'!$E$80:$E$82</c:f>
              <c:strCache>
                <c:ptCount val="1"/>
                <c:pt idx="0">
                  <c:v>2024-02 - Sum of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tables'!$E$83:$E$103</c:f>
              <c:numCache>
                <c:formatCode>General</c:formatCode>
                <c:ptCount val="16"/>
                <c:pt idx="0">
                  <c:v>4818.66</c:v>
                </c:pt>
                <c:pt idx="1">
                  <c:v>3755.62</c:v>
                </c:pt>
                <c:pt idx="2">
                  <c:v>1748.8</c:v>
                </c:pt>
                <c:pt idx="3">
                  <c:v>104.98</c:v>
                </c:pt>
                <c:pt idx="4">
                  <c:v>1321.54</c:v>
                </c:pt>
                <c:pt idx="9">
                  <c:v>4604.4</c:v>
                </c:pt>
                <c:pt idx="12">
                  <c:v>2914.75</c:v>
                </c:pt>
                <c:pt idx="13">
                  <c:v>636.94</c:v>
                </c:pt>
                <c:pt idx="15">
                  <c:v>1166.71</c:v>
                </c:pt>
              </c:numCache>
            </c:numRef>
          </c:val>
        </c:ser>
        <c:ser>
          <c:idx val="3"/>
          <c:order val="3"/>
          <c:tx>
            <c:strRef>
              <c:f>'Pivot tables'!$F$80:$F$82</c:f>
              <c:strCache>
                <c:ptCount val="1"/>
                <c:pt idx="0">
                  <c:v>2024-02 - Sum of UnitsSold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tables'!$F$83:$F$103</c:f>
              <c:numCache>
                <c:formatCode>General</c:formatCode>
                <c:ptCount val="16"/>
                <c:pt idx="0">
                  <c:v>47</c:v>
                </c:pt>
                <c:pt idx="1">
                  <c:v>49</c:v>
                </c:pt>
                <c:pt idx="2">
                  <c:v>20</c:v>
                </c:pt>
                <c:pt idx="3">
                  <c:v>2</c:v>
                </c:pt>
                <c:pt idx="4">
                  <c:v>22</c:v>
                </c:pt>
                <c:pt idx="9">
                  <c:v>45</c:v>
                </c:pt>
                <c:pt idx="12">
                  <c:v>25</c:v>
                </c:pt>
                <c:pt idx="13">
                  <c:v>10</c:v>
                </c:pt>
                <c:pt idx="15">
                  <c:v>17</c:v>
                </c:pt>
              </c:numCache>
            </c:numRef>
          </c:val>
        </c:ser>
        <c:ser>
          <c:idx val="4"/>
          <c:order val="4"/>
          <c:tx>
            <c:strRef>
              <c:f>'Pivot tables'!$G$80:$G$82</c:f>
              <c:strCache>
                <c:ptCount val="1"/>
                <c:pt idx="0">
                  <c:v>2024-03 - Sum of 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tables'!$G$83:$G$103</c:f>
              <c:numCache>
                <c:formatCode>General</c:formatCode>
                <c:ptCount val="16"/>
                <c:pt idx="0">
                  <c:v>1966.96</c:v>
                </c:pt>
                <c:pt idx="1">
                  <c:v>1995.95</c:v>
                </c:pt>
                <c:pt idx="3">
                  <c:v>1637.3</c:v>
                </c:pt>
                <c:pt idx="6">
                  <c:v>1320.41</c:v>
                </c:pt>
                <c:pt idx="7">
                  <c:v>496.26</c:v>
                </c:pt>
                <c:pt idx="8">
                  <c:v>2057.07</c:v>
                </c:pt>
                <c:pt idx="9">
                  <c:v>1305.78</c:v>
                </c:pt>
                <c:pt idx="10">
                  <c:v>0</c:v>
                </c:pt>
                <c:pt idx="12">
                  <c:v>718.78</c:v>
                </c:pt>
                <c:pt idx="14">
                  <c:v>469.54</c:v>
                </c:pt>
                <c:pt idx="15">
                  <c:v>2295</c:v>
                </c:pt>
              </c:numCache>
            </c:numRef>
          </c:val>
        </c:ser>
        <c:ser>
          <c:idx val="5"/>
          <c:order val="5"/>
          <c:tx>
            <c:strRef>
              <c:f>'Pivot tables'!$H$80:$H$82</c:f>
              <c:strCache>
                <c:ptCount val="1"/>
                <c:pt idx="0">
                  <c:v>2024-03 - Sum of UnitsSold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tables'!$H$83:$H$103</c:f>
              <c:numCache>
                <c:formatCode>General</c:formatCode>
                <c:ptCount val="16"/>
                <c:pt idx="0">
                  <c:v>23</c:v>
                </c:pt>
                <c:pt idx="1">
                  <c:v>50</c:v>
                </c:pt>
                <c:pt idx="3">
                  <c:v>21</c:v>
                </c:pt>
                <c:pt idx="6">
                  <c:v>13</c:v>
                </c:pt>
                <c:pt idx="7">
                  <c:v>18</c:v>
                </c:pt>
                <c:pt idx="8">
                  <c:v>41</c:v>
                </c:pt>
                <c:pt idx="9">
                  <c:v>21</c:v>
                </c:pt>
                <c:pt idx="10">
                  <c:v>0</c:v>
                </c:pt>
                <c:pt idx="12">
                  <c:v>18</c:v>
                </c:pt>
                <c:pt idx="14">
                  <c:v>17</c:v>
                </c:pt>
                <c:pt idx="15">
                  <c:v>25</c:v>
                </c:pt>
              </c:numCache>
            </c:numRef>
          </c:val>
        </c:ser>
        <c:ser>
          <c:idx val="6"/>
          <c:order val="6"/>
          <c:tx>
            <c:strRef>
              <c:f>'Pivot tables'!$I$80:$I$82</c:f>
              <c:strCache>
                <c:ptCount val="1"/>
                <c:pt idx="0">
                  <c:v>2024-04 - Sum of Revenue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tables'!$I$83:$I$103</c:f>
              <c:numCache>
                <c:formatCode>General</c:formatCode>
                <c:ptCount val="16"/>
                <c:pt idx="0">
                  <c:v>185.79</c:v>
                </c:pt>
                <c:pt idx="3">
                  <c:v>220.48</c:v>
                </c:pt>
                <c:pt idx="5">
                  <c:v>104.84</c:v>
                </c:pt>
                <c:pt idx="6">
                  <c:v>1180.92</c:v>
                </c:pt>
                <c:pt idx="7">
                  <c:v>778.08</c:v>
                </c:pt>
                <c:pt idx="8">
                  <c:v>881.6</c:v>
                </c:pt>
                <c:pt idx="9">
                  <c:v>1104.6</c:v>
                </c:pt>
                <c:pt idx="12">
                  <c:v>146.12</c:v>
                </c:pt>
                <c:pt idx="13">
                  <c:v>118.84</c:v>
                </c:pt>
                <c:pt idx="14">
                  <c:v>1196.06</c:v>
                </c:pt>
                <c:pt idx="15">
                  <c:v>845.12</c:v>
                </c:pt>
              </c:numCache>
            </c:numRef>
          </c:val>
        </c:ser>
        <c:ser>
          <c:idx val="7"/>
          <c:order val="7"/>
          <c:tx>
            <c:strRef>
              <c:f>'Pivot tables'!$J$80:$J$82</c:f>
              <c:strCache>
                <c:ptCount val="1"/>
                <c:pt idx="0">
                  <c:v>2024-04 - Sum of UnitsSold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tables'!$J$83:$J$103</c:f>
              <c:numCache>
                <c:formatCode>General</c:formatCode>
                <c:ptCount val="16"/>
                <c:pt idx="0">
                  <c:v>11</c:v>
                </c:pt>
                <c:pt idx="3">
                  <c:v>2</c:v>
                </c:pt>
                <c:pt idx="5">
                  <c:v>1</c:v>
                </c:pt>
                <c:pt idx="6">
                  <c:v>13</c:v>
                </c:pt>
                <c:pt idx="7">
                  <c:v>10</c:v>
                </c:pt>
                <c:pt idx="8">
                  <c:v>19</c:v>
                </c:pt>
                <c:pt idx="9">
                  <c:v>14</c:v>
                </c:pt>
                <c:pt idx="12">
                  <c:v>2</c:v>
                </c:pt>
                <c:pt idx="13">
                  <c:v>2</c:v>
                </c:pt>
                <c:pt idx="14">
                  <c:v>29</c:v>
                </c:pt>
                <c:pt idx="15">
                  <c:v>8</c:v>
                </c:pt>
              </c:numCache>
            </c:numRef>
          </c:val>
        </c:ser>
        <c:ser>
          <c:idx val="8"/>
          <c:order val="8"/>
          <c:tx>
            <c:strRef>
              <c:f>'Pivot tables'!$K$80:$K$82</c:f>
              <c:strCache>
                <c:ptCount val="1"/>
                <c:pt idx="0">
                  <c:v>2024-05 - Sum of Revenue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tables'!$K$83:$K$103</c:f>
              <c:numCache>
                <c:formatCode>General</c:formatCode>
                <c:ptCount val="16"/>
                <c:pt idx="0">
                  <c:v>1042.61</c:v>
                </c:pt>
                <c:pt idx="1">
                  <c:v>1972.08</c:v>
                </c:pt>
                <c:pt idx="4">
                  <c:v>36.81</c:v>
                </c:pt>
                <c:pt idx="5">
                  <c:v>2322.23</c:v>
                </c:pt>
                <c:pt idx="8">
                  <c:v>2185.48</c:v>
                </c:pt>
                <c:pt idx="9">
                  <c:v>2751.78</c:v>
                </c:pt>
                <c:pt idx="11">
                  <c:v>1639.12</c:v>
                </c:pt>
                <c:pt idx="12">
                  <c:v>1349.81</c:v>
                </c:pt>
                <c:pt idx="13">
                  <c:v>96.65</c:v>
                </c:pt>
                <c:pt idx="14">
                  <c:v>1520.97</c:v>
                </c:pt>
                <c:pt idx="15">
                  <c:v>450</c:v>
                </c:pt>
              </c:numCache>
            </c:numRef>
          </c:val>
        </c:ser>
        <c:ser>
          <c:idx val="9"/>
          <c:order val="9"/>
          <c:tx>
            <c:strRef>
              <c:f>'Pivot tables'!$L$80:$L$82</c:f>
              <c:strCache>
                <c:ptCount val="1"/>
                <c:pt idx="0">
                  <c:v>2024-05 - Sum of UnitsSold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tables'!$L$83:$L$103</c:f>
              <c:numCache>
                <c:formatCode>General</c:formatCode>
                <c:ptCount val="16"/>
                <c:pt idx="0">
                  <c:v>17</c:v>
                </c:pt>
                <c:pt idx="1">
                  <c:v>22</c:v>
                </c:pt>
                <c:pt idx="4">
                  <c:v>1</c:v>
                </c:pt>
                <c:pt idx="5">
                  <c:v>43</c:v>
                </c:pt>
                <c:pt idx="8">
                  <c:v>22</c:v>
                </c:pt>
                <c:pt idx="9">
                  <c:v>36</c:v>
                </c:pt>
                <c:pt idx="11">
                  <c:v>44</c:v>
                </c:pt>
                <c:pt idx="12">
                  <c:v>31</c:v>
                </c:pt>
                <c:pt idx="13">
                  <c:v>1</c:v>
                </c:pt>
                <c:pt idx="14">
                  <c:v>25</c:v>
                </c:pt>
                <c:pt idx="15">
                  <c:v>6</c:v>
                </c:pt>
              </c:numCache>
            </c:numRef>
          </c:val>
        </c:ser>
        <c:ser>
          <c:idx val="10"/>
          <c:order val="10"/>
          <c:tx>
            <c:strRef>
              <c:f>'Pivot tables'!$M$80:$M$82</c:f>
              <c:strCache>
                <c:ptCount val="1"/>
                <c:pt idx="0">
                  <c:v>2024-06 - Sum of Revenue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tables'!$M$83:$M$103</c:f>
              <c:numCache>
                <c:formatCode>General</c:formatCode>
                <c:ptCount val="16"/>
                <c:pt idx="0">
                  <c:v>401.38</c:v>
                </c:pt>
                <c:pt idx="2">
                  <c:v>725.34</c:v>
                </c:pt>
                <c:pt idx="3">
                  <c:v>0</c:v>
                </c:pt>
                <c:pt idx="4">
                  <c:v>237</c:v>
                </c:pt>
                <c:pt idx="5">
                  <c:v>3090.58</c:v>
                </c:pt>
                <c:pt idx="6">
                  <c:v>536.76</c:v>
                </c:pt>
                <c:pt idx="7">
                  <c:v>1127.84</c:v>
                </c:pt>
                <c:pt idx="8">
                  <c:v>228.96</c:v>
                </c:pt>
                <c:pt idx="9">
                  <c:v>189.54</c:v>
                </c:pt>
                <c:pt idx="11">
                  <c:v>933.3</c:v>
                </c:pt>
                <c:pt idx="13">
                  <c:v>2179.53</c:v>
                </c:pt>
                <c:pt idx="14">
                  <c:v>1491.63</c:v>
                </c:pt>
                <c:pt idx="15">
                  <c:v>1724.45</c:v>
                </c:pt>
              </c:numCache>
            </c:numRef>
          </c:val>
        </c:ser>
        <c:ser>
          <c:idx val="11"/>
          <c:order val="11"/>
          <c:tx>
            <c:strRef>
              <c:f>'Pivot tables'!$N$80:$N$82</c:f>
              <c:strCache>
                <c:ptCount val="1"/>
                <c:pt idx="0">
                  <c:v>2024-06 - Sum of UnitsSold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tables'!$N$83:$N$103</c:f>
              <c:numCache>
                <c:formatCode>General</c:formatCode>
                <c:ptCount val="16"/>
                <c:pt idx="0">
                  <c:v>7</c:v>
                </c:pt>
                <c:pt idx="2">
                  <c:v>14</c:v>
                </c:pt>
                <c:pt idx="3">
                  <c:v>0</c:v>
                </c:pt>
                <c:pt idx="4">
                  <c:v>2</c:v>
                </c:pt>
                <c:pt idx="5">
                  <c:v>51</c:v>
                </c:pt>
                <c:pt idx="6">
                  <c:v>14</c:v>
                </c:pt>
                <c:pt idx="7">
                  <c:v>14</c:v>
                </c:pt>
                <c:pt idx="8">
                  <c:v>2</c:v>
                </c:pt>
                <c:pt idx="9">
                  <c:v>13</c:v>
                </c:pt>
                <c:pt idx="11">
                  <c:v>18</c:v>
                </c:pt>
                <c:pt idx="13">
                  <c:v>24</c:v>
                </c:pt>
                <c:pt idx="14">
                  <c:v>21</c:v>
                </c:pt>
                <c:pt idx="15">
                  <c:v>25</c:v>
                </c:pt>
              </c:numCache>
            </c:numRef>
          </c:val>
        </c:ser>
        <c:ser>
          <c:idx val="12"/>
          <c:order val="12"/>
          <c:tx>
            <c:strRef>
              <c:f>'Pivot tables'!$O$80:$O$82</c:f>
              <c:strCache>
                <c:ptCount val="1"/>
                <c:pt idx="0">
                  <c:v>2024-07 - Sum of Revenue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tables'!$O$83:$O$103</c:f>
              <c:numCache>
                <c:formatCode>General</c:formatCode>
                <c:ptCount val="16"/>
                <c:pt idx="1">
                  <c:v>318.78</c:v>
                </c:pt>
                <c:pt idx="2">
                  <c:v>1571.55</c:v>
                </c:pt>
                <c:pt idx="4">
                  <c:v>1663.7</c:v>
                </c:pt>
                <c:pt idx="5">
                  <c:v>1504.51</c:v>
                </c:pt>
                <c:pt idx="8">
                  <c:v>422</c:v>
                </c:pt>
                <c:pt idx="10">
                  <c:v>1764.91</c:v>
                </c:pt>
                <c:pt idx="11">
                  <c:v>959.85</c:v>
                </c:pt>
                <c:pt idx="12">
                  <c:v>741.76</c:v>
                </c:pt>
                <c:pt idx="14">
                  <c:v>2716.81</c:v>
                </c:pt>
                <c:pt idx="15">
                  <c:v>1574.09</c:v>
                </c:pt>
              </c:numCache>
            </c:numRef>
          </c:val>
        </c:ser>
        <c:ser>
          <c:idx val="13"/>
          <c:order val="13"/>
          <c:tx>
            <c:strRef>
              <c:f>'Pivot tables'!$P$80:$P$82</c:f>
              <c:strCache>
                <c:ptCount val="1"/>
                <c:pt idx="0">
                  <c:v>2024-07 - Sum of UnitsSold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tables'!$P$83:$P$103</c:f>
              <c:numCache>
                <c:formatCode>General</c:formatCode>
                <c:ptCount val="16"/>
                <c:pt idx="1">
                  <c:v>14</c:v>
                </c:pt>
                <c:pt idx="2">
                  <c:v>41</c:v>
                </c:pt>
                <c:pt idx="4">
                  <c:v>30</c:v>
                </c:pt>
                <c:pt idx="5">
                  <c:v>23</c:v>
                </c:pt>
                <c:pt idx="8">
                  <c:v>20</c:v>
                </c:pt>
                <c:pt idx="10">
                  <c:v>19</c:v>
                </c:pt>
                <c:pt idx="11">
                  <c:v>15</c:v>
                </c:pt>
                <c:pt idx="12">
                  <c:v>19</c:v>
                </c:pt>
                <c:pt idx="14">
                  <c:v>49</c:v>
                </c:pt>
                <c:pt idx="15">
                  <c:v>32</c:v>
                </c:pt>
              </c:numCache>
            </c:numRef>
          </c:val>
        </c:ser>
        <c:ser>
          <c:idx val="14"/>
          <c:order val="14"/>
          <c:tx>
            <c:strRef>
              <c:f>'Pivot tables'!$Q$80:$Q$82</c:f>
              <c:strCache>
                <c:ptCount val="1"/>
                <c:pt idx="0">
                  <c:v>2024-08 - Sum of Revenue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tables'!$Q$83:$Q$103</c:f>
              <c:numCache>
                <c:formatCode>General</c:formatCode>
                <c:ptCount val="16"/>
                <c:pt idx="1">
                  <c:v>814.66</c:v>
                </c:pt>
                <c:pt idx="2">
                  <c:v>3916.5</c:v>
                </c:pt>
                <c:pt idx="3">
                  <c:v>283.23</c:v>
                </c:pt>
                <c:pt idx="4">
                  <c:v>5077.39</c:v>
                </c:pt>
                <c:pt idx="5">
                  <c:v>1880.8</c:v>
                </c:pt>
                <c:pt idx="6">
                  <c:v>1117.4</c:v>
                </c:pt>
                <c:pt idx="8">
                  <c:v>4269.26</c:v>
                </c:pt>
                <c:pt idx="10">
                  <c:v>1392.95</c:v>
                </c:pt>
                <c:pt idx="11">
                  <c:v>666.64</c:v>
                </c:pt>
                <c:pt idx="12">
                  <c:v>1512.68</c:v>
                </c:pt>
                <c:pt idx="13">
                  <c:v>3292</c:v>
                </c:pt>
                <c:pt idx="15">
                  <c:v>1419.25</c:v>
                </c:pt>
              </c:numCache>
            </c:numRef>
          </c:val>
        </c:ser>
        <c:ser>
          <c:idx val="15"/>
          <c:order val="15"/>
          <c:tx>
            <c:strRef>
              <c:f>'Pivot tables'!$R$80:$R$82</c:f>
              <c:strCache>
                <c:ptCount val="1"/>
                <c:pt idx="0">
                  <c:v>2024-08 - Sum of UnitsSold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tables'!$R$83:$R$103</c:f>
              <c:numCache>
                <c:formatCode>General</c:formatCode>
                <c:ptCount val="16"/>
                <c:pt idx="1">
                  <c:v>32</c:v>
                </c:pt>
                <c:pt idx="2">
                  <c:v>48</c:v>
                </c:pt>
                <c:pt idx="3">
                  <c:v>9</c:v>
                </c:pt>
                <c:pt idx="4">
                  <c:v>52</c:v>
                </c:pt>
                <c:pt idx="5">
                  <c:v>20</c:v>
                </c:pt>
                <c:pt idx="6">
                  <c:v>20</c:v>
                </c:pt>
                <c:pt idx="8">
                  <c:v>43</c:v>
                </c:pt>
                <c:pt idx="10">
                  <c:v>35</c:v>
                </c:pt>
                <c:pt idx="11">
                  <c:v>8</c:v>
                </c:pt>
                <c:pt idx="12">
                  <c:v>13</c:v>
                </c:pt>
                <c:pt idx="13">
                  <c:v>59</c:v>
                </c:pt>
                <c:pt idx="15">
                  <c:v>14</c:v>
                </c:pt>
              </c:numCache>
            </c:numRef>
          </c:val>
        </c:ser>
        <c:ser>
          <c:idx val="16"/>
          <c:order val="16"/>
          <c:tx>
            <c:strRef>
              <c:f>'Pivot tables'!$S$80:$S$82</c:f>
              <c:strCache>
                <c:ptCount val="1"/>
                <c:pt idx="0">
                  <c:v>2024-09 - Sum of Revenue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tables'!$S$83:$S$103</c:f>
              <c:numCache>
                <c:formatCode>General</c:formatCode>
                <c:ptCount val="16"/>
                <c:pt idx="0">
                  <c:v>147.46</c:v>
                </c:pt>
                <c:pt idx="3">
                  <c:v>519.5</c:v>
                </c:pt>
                <c:pt idx="4">
                  <c:v>449.28</c:v>
                </c:pt>
                <c:pt idx="5">
                  <c:v>2383.26</c:v>
                </c:pt>
                <c:pt idx="6">
                  <c:v>3335.53</c:v>
                </c:pt>
                <c:pt idx="7">
                  <c:v>1481.66</c:v>
                </c:pt>
                <c:pt idx="8">
                  <c:v>516.25</c:v>
                </c:pt>
                <c:pt idx="10">
                  <c:v>1283.2</c:v>
                </c:pt>
                <c:pt idx="12">
                  <c:v>65.64</c:v>
                </c:pt>
                <c:pt idx="15">
                  <c:v>942.76</c:v>
                </c:pt>
              </c:numCache>
            </c:numRef>
          </c:val>
        </c:ser>
        <c:ser>
          <c:idx val="17"/>
          <c:order val="17"/>
          <c:tx>
            <c:strRef>
              <c:f>'Pivot tables'!$T$80:$T$82</c:f>
              <c:strCache>
                <c:ptCount val="1"/>
                <c:pt idx="0">
                  <c:v>2024-09 - Sum of UnitsSold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tables'!$T$83:$T$103</c:f>
              <c:numCache>
                <c:formatCode>General</c:formatCode>
                <c:ptCount val="16"/>
                <c:pt idx="0">
                  <c:v>2</c:v>
                </c:pt>
                <c:pt idx="3">
                  <c:v>28</c:v>
                </c:pt>
                <c:pt idx="4">
                  <c:v>16</c:v>
                </c:pt>
                <c:pt idx="5">
                  <c:v>39</c:v>
                </c:pt>
                <c:pt idx="6">
                  <c:v>56</c:v>
                </c:pt>
                <c:pt idx="7">
                  <c:v>20</c:v>
                </c:pt>
                <c:pt idx="8">
                  <c:v>7</c:v>
                </c:pt>
                <c:pt idx="10">
                  <c:v>28</c:v>
                </c:pt>
                <c:pt idx="12">
                  <c:v>3</c:v>
                </c:pt>
                <c:pt idx="15">
                  <c:v>26</c:v>
                </c:pt>
              </c:numCache>
            </c:numRef>
          </c:val>
        </c:ser>
        <c:ser>
          <c:idx val="18"/>
          <c:order val="18"/>
          <c:tx>
            <c:strRef>
              <c:f>'Pivot tables'!$U$80:$U$82</c:f>
              <c:strCache>
                <c:ptCount val="1"/>
                <c:pt idx="0">
                  <c:v>2024-10 - Sum of Revenue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tables'!$U$83:$U$103</c:f>
              <c:numCache>
                <c:formatCode>General</c:formatCode>
                <c:ptCount val="16"/>
                <c:pt idx="0">
                  <c:v>504.6</c:v>
                </c:pt>
                <c:pt idx="2">
                  <c:v>1792.72</c:v>
                </c:pt>
                <c:pt idx="5">
                  <c:v>383.1</c:v>
                </c:pt>
                <c:pt idx="6">
                  <c:v>3636.07</c:v>
                </c:pt>
                <c:pt idx="8">
                  <c:v>1968.07</c:v>
                </c:pt>
                <c:pt idx="9">
                  <c:v>169.84</c:v>
                </c:pt>
                <c:pt idx="10">
                  <c:v>234.88</c:v>
                </c:pt>
                <c:pt idx="13">
                  <c:v>931.96</c:v>
                </c:pt>
                <c:pt idx="14">
                  <c:v>2281.11</c:v>
                </c:pt>
                <c:pt idx="15">
                  <c:v>39.27</c:v>
                </c:pt>
              </c:numCache>
            </c:numRef>
          </c:val>
        </c:ser>
        <c:ser>
          <c:idx val="19"/>
          <c:order val="19"/>
          <c:tx>
            <c:strRef>
              <c:f>'Pivot tables'!$V$80:$V$82</c:f>
              <c:strCache>
                <c:ptCount val="1"/>
                <c:pt idx="0">
                  <c:v>2024-10 - Sum of UnitsSold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tables'!$V$83:$V$103</c:f>
              <c:numCache>
                <c:formatCode>General</c:formatCode>
                <c:ptCount val="16"/>
                <c:pt idx="0">
                  <c:v>12</c:v>
                </c:pt>
                <c:pt idx="2">
                  <c:v>26</c:v>
                </c:pt>
                <c:pt idx="5">
                  <c:v>10</c:v>
                </c:pt>
                <c:pt idx="6">
                  <c:v>39</c:v>
                </c:pt>
                <c:pt idx="8">
                  <c:v>29</c:v>
                </c:pt>
                <c:pt idx="9">
                  <c:v>2</c:v>
                </c:pt>
                <c:pt idx="10">
                  <c:v>4</c:v>
                </c:pt>
                <c:pt idx="13">
                  <c:v>11</c:v>
                </c:pt>
                <c:pt idx="14">
                  <c:v>32</c:v>
                </c:pt>
                <c:pt idx="15">
                  <c:v>1</c:v>
                </c:pt>
              </c:numCache>
            </c:numRef>
          </c:val>
        </c:ser>
        <c:ser>
          <c:idx val="20"/>
          <c:order val="20"/>
          <c:tx>
            <c:strRef>
              <c:f>'Pivot tables'!$W$80:$W$82</c:f>
              <c:strCache>
                <c:ptCount val="1"/>
                <c:pt idx="0">
                  <c:v>2024-11 - Sum of Revenue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tables'!$W$83:$W$103</c:f>
              <c:numCache>
                <c:formatCode>General</c:formatCode>
                <c:ptCount val="16"/>
                <c:pt idx="0">
                  <c:v>1305.09</c:v>
                </c:pt>
                <c:pt idx="1">
                  <c:v>613.03</c:v>
                </c:pt>
                <c:pt idx="3">
                  <c:v>2433.64</c:v>
                </c:pt>
                <c:pt idx="5">
                  <c:v>15.22</c:v>
                </c:pt>
                <c:pt idx="6">
                  <c:v>1915.68</c:v>
                </c:pt>
                <c:pt idx="7">
                  <c:v>703.44</c:v>
                </c:pt>
                <c:pt idx="9">
                  <c:v>619.29</c:v>
                </c:pt>
                <c:pt idx="10">
                  <c:v>4076.61</c:v>
                </c:pt>
                <c:pt idx="11">
                  <c:v>213.92</c:v>
                </c:pt>
                <c:pt idx="14">
                  <c:v>643.86</c:v>
                </c:pt>
                <c:pt idx="15">
                  <c:v>627.14</c:v>
                </c:pt>
              </c:numCache>
            </c:numRef>
          </c:val>
        </c:ser>
        <c:ser>
          <c:idx val="21"/>
          <c:order val="21"/>
          <c:tx>
            <c:strRef>
              <c:f>'Pivot tables'!$X$80:$X$82</c:f>
              <c:strCache>
                <c:ptCount val="1"/>
                <c:pt idx="0">
                  <c:v>2024-11 - Sum of UnitsSold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tables'!$X$83:$X$103</c:f>
              <c:numCache>
                <c:formatCode>General</c:formatCode>
                <c:ptCount val="16"/>
                <c:pt idx="0">
                  <c:v>21</c:v>
                </c:pt>
                <c:pt idx="1">
                  <c:v>25</c:v>
                </c:pt>
                <c:pt idx="3">
                  <c:v>29</c:v>
                </c:pt>
                <c:pt idx="5">
                  <c:v>1</c:v>
                </c:pt>
                <c:pt idx="6">
                  <c:v>24</c:v>
                </c:pt>
                <c:pt idx="7">
                  <c:v>24</c:v>
                </c:pt>
                <c:pt idx="9">
                  <c:v>6</c:v>
                </c:pt>
                <c:pt idx="10">
                  <c:v>64</c:v>
                </c:pt>
                <c:pt idx="11">
                  <c:v>2</c:v>
                </c:pt>
                <c:pt idx="14">
                  <c:v>21</c:v>
                </c:pt>
                <c:pt idx="15">
                  <c:v>28</c:v>
                </c:pt>
              </c:numCache>
            </c:numRef>
          </c:val>
        </c:ser>
        <c:ser>
          <c:idx val="22"/>
          <c:order val="22"/>
          <c:tx>
            <c:strRef>
              <c:f>'Pivot tables'!$Y$80:$Y$82</c:f>
              <c:strCache>
                <c:ptCount val="1"/>
                <c:pt idx="0">
                  <c:v>2024-12 - Sum of Revenue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tables'!$Y$83:$Y$103</c:f>
              <c:numCache>
                <c:formatCode>General</c:formatCode>
                <c:ptCount val="16"/>
                <c:pt idx="5">
                  <c:v>569.22</c:v>
                </c:pt>
                <c:pt idx="6">
                  <c:v>2201.01</c:v>
                </c:pt>
                <c:pt idx="8">
                  <c:v>460.25</c:v>
                </c:pt>
              </c:numCache>
            </c:numRef>
          </c:val>
        </c:ser>
        <c:ser>
          <c:idx val="23"/>
          <c:order val="23"/>
          <c:tx>
            <c:strRef>
              <c:f>'Pivot tables'!$Z$80:$Z$82</c:f>
              <c:strCache>
                <c:ptCount val="1"/>
                <c:pt idx="0">
                  <c:v>2024-12 - Sum of UnitsSold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tables'!$A$83:$B$103</c:f>
              <c:multiLvlStrCache>
                <c:ptCount val="16"/>
                <c:lvl>
                  <c:pt idx="0">
                    <c:v>Accessories</c:v>
                  </c:pt>
                  <c:pt idx="1">
                    <c:v>Gadgets</c:v>
                  </c:pt>
                  <c:pt idx="2">
                    <c:v>Tools</c:v>
                  </c:pt>
                  <c:pt idx="3">
                    <c:v>Widgets</c:v>
                  </c:pt>
                  <c:pt idx="4">
                    <c:v>Accessories</c:v>
                  </c:pt>
                  <c:pt idx="5">
                    <c:v>Gadgets</c:v>
                  </c:pt>
                  <c:pt idx="6">
                    <c:v>Tools</c:v>
                  </c:pt>
                  <c:pt idx="7">
                    <c:v>Widgets</c:v>
                  </c:pt>
                  <c:pt idx="8">
                    <c:v>Accessories</c:v>
                  </c:pt>
                  <c:pt idx="9">
                    <c:v>Gadgets</c:v>
                  </c:pt>
                  <c:pt idx="10">
                    <c:v>Tools</c:v>
                  </c:pt>
                  <c:pt idx="11">
                    <c:v>Widgets</c:v>
                  </c:pt>
                  <c:pt idx="12">
                    <c:v>Accessories</c:v>
                  </c:pt>
                  <c:pt idx="13">
                    <c:v>Gadgets</c:v>
                  </c:pt>
                  <c:pt idx="14">
                    <c:v>Tools</c:v>
                  </c:pt>
                  <c:pt idx="15">
                    <c:v>Widgets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  <c:pt idx="12">
                    <c:v>West</c:v>
                  </c:pt>
                </c:lvl>
              </c:multiLvlStrCache>
            </c:multiLvlStrRef>
          </c:cat>
          <c:val>
            <c:numRef>
              <c:f>'Pivot tables'!$Z$83:$Z$103</c:f>
              <c:numCache>
                <c:formatCode>General</c:formatCode>
                <c:ptCount val="16"/>
                <c:pt idx="5">
                  <c:v>6</c:v>
                </c:pt>
                <c:pt idx="6">
                  <c:v>21</c:v>
                </c:pt>
                <c:pt idx="8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959236605"/>
        <c:axId val="95399429"/>
      </c:barChart>
      <c:catAx>
        <c:axId val="95923660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99429"/>
        <c:crosses val="autoZero"/>
        <c:auto val="1"/>
        <c:lblAlgn val="ctr"/>
        <c:lblOffset val="100"/>
        <c:noMultiLvlLbl val="0"/>
      </c:catAx>
      <c:valAx>
        <c:axId val="953994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92366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bd3e5e-1b1b-4788-a181-afe59d22e03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292874835559492"/>
          <c:y val="0.0621111207993222"/>
          <c:w val="0.607348921955663"/>
          <c:h val="0.923361034164358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explosion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val>
            <c:numRef>
              <c:f>KPI_Calc!$B$89:$C$89</c:f>
              <c:numCache>
                <c:formatCode>0.00%</c:formatCode>
                <c:ptCount val="2"/>
                <c:pt idx="0">
                  <c:v>0.266848934015068</c:v>
                </c:pt>
                <c:pt idx="1">
                  <c:v>0.733151065984932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13b1ea7-e0ef-44c9-ae51-9c64e4ed787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23564432220708"/>
          <c:y val="0.0464666021297193"/>
          <c:w val="0.607348921955663"/>
          <c:h val="0.923361034164358"/>
        </c:manualLayout>
      </c:layout>
      <c:doughnutChart>
        <c:varyColors val="1"/>
        <c:ser>
          <c:idx val="0"/>
          <c:order val="0"/>
          <c:tx>
            <c:strRef>
              <c:f>KPI_Calc!$A$86</c:f>
              <c:strCache>
                <c:ptCount val="1"/>
                <c:pt idx="0">
                  <c:v>Tools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</c:spPr>
          <c:explosion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val>
            <c:numRef>
              <c:f>KPI_Calc!$B$86:$C$86</c:f>
              <c:numCache>
                <c:formatCode>0.00%</c:formatCode>
                <c:ptCount val="2"/>
                <c:pt idx="0">
                  <c:v>0.306930748571901</c:v>
                </c:pt>
                <c:pt idx="1">
                  <c:v>0.693069251428099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13b1ea7-e0ef-44c9-ae51-9c64e4ed787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819737403467"/>
          <c:y val="0.045676217891762"/>
          <c:w val="0.607348921955663"/>
          <c:h val="0.923361034164358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explosion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val>
            <c:numRef>
              <c:f>KPI_Calc!$D$77:$E$77</c:f>
              <c:numCache>
                <c:formatCode>0.00%</c:formatCode>
                <c:ptCount val="2"/>
                <c:pt idx="0">
                  <c:v>0.15419976915393</c:v>
                </c:pt>
                <c:pt idx="1">
                  <c:v>0.84580023084607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13b1ea7-e0ef-44c9-ae51-9c64e4ed787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2.png"/><Relationship Id="rId8" Type="http://schemas.openxmlformats.org/officeDocument/2006/relationships/image" Target="../media/image1.png"/><Relationship Id="rId7" Type="http://schemas.openxmlformats.org/officeDocument/2006/relationships/chart" Target="../charts/chart15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2" Type="http://schemas.openxmlformats.org/officeDocument/2006/relationships/image" Target="../media/image5.png"/><Relationship Id="rId11" Type="http://schemas.openxmlformats.org/officeDocument/2006/relationships/image" Target="../media/image4.png"/><Relationship Id="rId10" Type="http://schemas.openxmlformats.org/officeDocument/2006/relationships/image" Target="../media/image3.png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12065</xdr:colOff>
      <xdr:row>0</xdr:row>
      <xdr:rowOff>12700</xdr:rowOff>
    </xdr:from>
    <xdr:to>
      <xdr:col>13</xdr:col>
      <xdr:colOff>726440</xdr:colOff>
      <xdr:row>14</xdr:row>
      <xdr:rowOff>13335</xdr:rowOff>
    </xdr:to>
    <xdr:graphicFrame>
      <xdr:nvGraphicFramePr>
        <xdr:cNvPr id="2" name="Chart 1"/>
        <xdr:cNvGraphicFramePr/>
      </xdr:nvGraphicFramePr>
      <xdr:xfrm>
        <a:off x="11396980" y="12700"/>
        <a:ext cx="6566535" cy="2987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10160</xdr:colOff>
      <xdr:row>16</xdr:row>
      <xdr:rowOff>198120</xdr:rowOff>
    </xdr:from>
    <xdr:to>
      <xdr:col>14</xdr:col>
      <xdr:colOff>42545</xdr:colOff>
      <xdr:row>34</xdr:row>
      <xdr:rowOff>193040</xdr:rowOff>
    </xdr:to>
    <xdr:graphicFrame>
      <xdr:nvGraphicFramePr>
        <xdr:cNvPr id="3" name="Chart 2"/>
        <xdr:cNvGraphicFramePr/>
      </xdr:nvGraphicFramePr>
      <xdr:xfrm>
        <a:off x="11395075" y="3611880"/>
        <a:ext cx="6616065" cy="383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21590</xdr:colOff>
      <xdr:row>46</xdr:row>
      <xdr:rowOff>15240</xdr:rowOff>
    </xdr:from>
    <xdr:to>
      <xdr:col>14</xdr:col>
      <xdr:colOff>53975</xdr:colOff>
      <xdr:row>67</xdr:row>
      <xdr:rowOff>29210</xdr:rowOff>
    </xdr:to>
    <xdr:graphicFrame>
      <xdr:nvGraphicFramePr>
        <xdr:cNvPr id="7" name="Chart 6"/>
        <xdr:cNvGraphicFramePr/>
      </xdr:nvGraphicFramePr>
      <xdr:xfrm>
        <a:off x="11406505" y="9829800"/>
        <a:ext cx="6616065" cy="4494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14605</xdr:colOff>
      <xdr:row>71</xdr:row>
      <xdr:rowOff>189230</xdr:rowOff>
    </xdr:from>
    <xdr:to>
      <xdr:col>14</xdr:col>
      <xdr:colOff>37465</xdr:colOff>
      <xdr:row>91</xdr:row>
      <xdr:rowOff>201930</xdr:rowOff>
    </xdr:to>
    <xdr:graphicFrame>
      <xdr:nvGraphicFramePr>
        <xdr:cNvPr id="12" name="Chart 11"/>
        <xdr:cNvGraphicFramePr/>
      </xdr:nvGraphicFramePr>
      <xdr:xfrm>
        <a:off x="11399520" y="15337790"/>
        <a:ext cx="6606540" cy="427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7</xdr:col>
      <xdr:colOff>335280</xdr:colOff>
      <xdr:row>3</xdr:row>
      <xdr:rowOff>99695</xdr:rowOff>
    </xdr:from>
    <xdr:to>
      <xdr:col>9</xdr:col>
      <xdr:colOff>701040</xdr:colOff>
      <xdr:row>14</xdr:row>
      <xdr:rowOff>127635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70905" y="7397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114300</xdr:colOff>
      <xdr:row>3</xdr:row>
      <xdr:rowOff>111760</xdr:rowOff>
    </xdr:from>
    <xdr:to>
      <xdr:col>12</xdr:col>
      <xdr:colOff>480060</xdr:colOff>
      <xdr:row>14</xdr:row>
      <xdr:rowOff>139700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5" name="UnitsSol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tsSol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44485" y="75184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708025</xdr:colOff>
      <xdr:row>3</xdr:row>
      <xdr:rowOff>130810</xdr:rowOff>
    </xdr:from>
    <xdr:to>
      <xdr:col>15</xdr:col>
      <xdr:colOff>342265</xdr:colOff>
      <xdr:row>14</xdr:row>
      <xdr:rowOff>158750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6" name="Help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elp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01250" y="77089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494665</xdr:colOff>
      <xdr:row>3</xdr:row>
      <xdr:rowOff>100330</xdr:rowOff>
    </xdr:from>
    <xdr:to>
      <xdr:col>18</xdr:col>
      <xdr:colOff>128905</xdr:colOff>
      <xdr:row>14</xdr:row>
      <xdr:rowOff>128270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7" name="ProductLin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Li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82450" y="74041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176530</xdr:colOff>
      <xdr:row>13</xdr:row>
      <xdr:rowOff>25400</xdr:rowOff>
    </xdr:from>
    <xdr:to>
      <xdr:col>9</xdr:col>
      <xdr:colOff>786765</xdr:colOff>
      <xdr:row>29</xdr:row>
      <xdr:rowOff>163830</xdr:rowOff>
    </xdr:to>
    <xdr:graphicFrame>
      <xdr:nvGraphicFramePr>
        <xdr:cNvPr id="2" name="Chart 1"/>
        <xdr:cNvGraphicFramePr/>
      </xdr:nvGraphicFramePr>
      <xdr:xfrm>
        <a:off x="6297930" y="2799080"/>
        <a:ext cx="5751195" cy="3552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923925</xdr:colOff>
      <xdr:row>33</xdr:row>
      <xdr:rowOff>99695</xdr:rowOff>
    </xdr:from>
    <xdr:to>
      <xdr:col>9</xdr:col>
      <xdr:colOff>1066165</xdr:colOff>
      <xdr:row>54</xdr:row>
      <xdr:rowOff>0</xdr:rowOff>
    </xdr:to>
    <xdr:graphicFrame>
      <xdr:nvGraphicFramePr>
        <xdr:cNvPr id="3" name="Chart 2"/>
        <xdr:cNvGraphicFramePr/>
      </xdr:nvGraphicFramePr>
      <xdr:xfrm>
        <a:off x="5760085" y="7140575"/>
        <a:ext cx="6568440" cy="4380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1337945</xdr:colOff>
      <xdr:row>14</xdr:row>
      <xdr:rowOff>20320</xdr:rowOff>
    </xdr:from>
    <xdr:to>
      <xdr:col>11</xdr:col>
      <xdr:colOff>543560</xdr:colOff>
      <xdr:row>25</xdr:row>
      <xdr:rowOff>48260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ProductLin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Lin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47600" y="30073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404495</xdr:colOff>
      <xdr:row>13</xdr:row>
      <xdr:rowOff>139065</xdr:rowOff>
    </xdr:from>
    <xdr:to>
      <xdr:col>12</xdr:col>
      <xdr:colOff>948055</xdr:colOff>
      <xdr:row>24</xdr:row>
      <xdr:rowOff>167005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egion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37335" y="291274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887730</xdr:colOff>
      <xdr:row>32</xdr:row>
      <xdr:rowOff>146685</xdr:rowOff>
    </xdr:from>
    <xdr:to>
      <xdr:col>12</xdr:col>
      <xdr:colOff>146050</xdr:colOff>
      <xdr:row>43</xdr:row>
      <xdr:rowOff>174625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Helper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elper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35330" y="697420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903605</xdr:colOff>
      <xdr:row>58</xdr:row>
      <xdr:rowOff>202565</xdr:rowOff>
    </xdr:from>
    <xdr:to>
      <xdr:col>8</xdr:col>
      <xdr:colOff>413385</xdr:colOff>
      <xdr:row>72</xdr:row>
      <xdr:rowOff>100965</xdr:rowOff>
    </xdr:to>
    <xdr:graphicFrame>
      <xdr:nvGraphicFramePr>
        <xdr:cNvPr id="11" name="Chart 10"/>
        <xdr:cNvGraphicFramePr/>
      </xdr:nvGraphicFramePr>
      <xdr:xfrm>
        <a:off x="5739765" y="12577445"/>
        <a:ext cx="465074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1365250</xdr:colOff>
      <xdr:row>60</xdr:row>
      <xdr:rowOff>16510</xdr:rowOff>
    </xdr:from>
    <xdr:to>
      <xdr:col>11</xdr:col>
      <xdr:colOff>543560</xdr:colOff>
      <xdr:row>71</xdr:row>
      <xdr:rowOff>44450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ProductLine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Line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47600" y="1281811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1169670</xdr:colOff>
      <xdr:row>106</xdr:row>
      <xdr:rowOff>151130</xdr:rowOff>
    </xdr:from>
    <xdr:to>
      <xdr:col>17</xdr:col>
      <xdr:colOff>1129030</xdr:colOff>
      <xdr:row>132</xdr:row>
      <xdr:rowOff>168910</xdr:rowOff>
    </xdr:to>
    <xdr:graphicFrame>
      <xdr:nvGraphicFramePr>
        <xdr:cNvPr id="13" name="Chart 12"/>
        <xdr:cNvGraphicFramePr/>
      </xdr:nvGraphicFramePr>
      <xdr:xfrm>
        <a:off x="12432030" y="22767290"/>
        <a:ext cx="10241280" cy="5565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1097280</xdr:colOff>
      <xdr:row>107</xdr:row>
      <xdr:rowOff>95885</xdr:rowOff>
    </xdr:from>
    <xdr:to>
      <xdr:col>19</xdr:col>
      <xdr:colOff>355600</xdr:colOff>
      <xdr:row>118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ProductLine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Line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41560" y="2292540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466725</xdr:colOff>
      <xdr:row>107</xdr:row>
      <xdr:rowOff>88900</xdr:rowOff>
    </xdr:from>
    <xdr:to>
      <xdr:col>20</xdr:col>
      <xdr:colOff>1010285</xdr:colOff>
      <xdr:row>118</xdr:row>
      <xdr:rowOff>116840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Region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581485" y="2291842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1087755</xdr:colOff>
      <xdr:row>107</xdr:row>
      <xdr:rowOff>171450</xdr:rowOff>
    </xdr:from>
    <xdr:to>
      <xdr:col>22</xdr:col>
      <xdr:colOff>346075</xdr:colOff>
      <xdr:row>118</xdr:row>
      <xdr:rowOff>199390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Helper 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elper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87755" y="2300097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666750</xdr:colOff>
      <xdr:row>0</xdr:row>
      <xdr:rowOff>635</xdr:rowOff>
    </xdr:from>
    <xdr:to>
      <xdr:col>22</xdr:col>
      <xdr:colOff>339090</xdr:colOff>
      <xdr:row>36</xdr:row>
      <xdr:rowOff>10795</xdr:rowOff>
    </xdr:to>
    <xdr:sp>
      <xdr:nvSpPr>
        <xdr:cNvPr id="62" name="Pentagon 61"/>
        <xdr:cNvSpPr/>
      </xdr:nvSpPr>
      <xdr:spPr>
        <a:xfrm flipH="1">
          <a:off x="7118350" y="635"/>
          <a:ext cx="9913620" cy="7691120"/>
        </a:xfrm>
        <a:prstGeom prst="homePlate">
          <a:avLst>
            <a:gd name="adj" fmla="val 32712"/>
          </a:avLst>
        </a:prstGeom>
        <a:gradFill>
          <a:gsLst>
            <a:gs pos="100000">
              <a:schemeClr val="tx1"/>
            </a:gs>
            <a:gs pos="29000">
              <a:srgbClr val="2A2A2A"/>
            </a:gs>
            <a:gs pos="46000">
              <a:srgbClr val="6E7780"/>
            </a:gs>
            <a:gs pos="10000">
              <a:srgbClr val="0D0D0C"/>
            </a:gs>
            <a:gs pos="100000">
              <a:srgbClr val="929292"/>
            </a:gs>
          </a:gsLst>
          <a:lin ang="10800000" scaled="0"/>
        </a:gradFill>
        <a:ln w="41275"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857885</xdr:colOff>
      <xdr:row>0</xdr:row>
      <xdr:rowOff>1905</xdr:rowOff>
    </xdr:from>
    <xdr:to>
      <xdr:col>14</xdr:col>
      <xdr:colOff>201930</xdr:colOff>
      <xdr:row>36</xdr:row>
      <xdr:rowOff>22225</xdr:rowOff>
    </xdr:to>
    <xdr:sp>
      <xdr:nvSpPr>
        <xdr:cNvPr id="16" name="Pentagon 15"/>
        <xdr:cNvSpPr/>
      </xdr:nvSpPr>
      <xdr:spPr>
        <a:xfrm flipH="1">
          <a:off x="3352165" y="1905"/>
          <a:ext cx="7690485" cy="7701280"/>
        </a:xfrm>
        <a:prstGeom prst="homePlate">
          <a:avLst>
            <a:gd name="adj" fmla="val 32712"/>
          </a:avLst>
        </a:prstGeom>
        <a:gradFill>
          <a:gsLst>
            <a:gs pos="100000">
              <a:schemeClr val="tx1"/>
            </a:gs>
            <a:gs pos="29000">
              <a:srgbClr val="2A2A2A"/>
            </a:gs>
            <a:gs pos="46000">
              <a:srgbClr val="6E7780"/>
            </a:gs>
            <a:gs pos="10000">
              <a:srgbClr val="0D0D0C"/>
            </a:gs>
            <a:gs pos="100000">
              <a:srgbClr val="929292"/>
            </a:gs>
          </a:gsLst>
          <a:lin ang="10800000" scaled="0"/>
        </a:gradFill>
        <a:ln w="41275"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10160</xdr:colOff>
      <xdr:row>0</xdr:row>
      <xdr:rowOff>1270</xdr:rowOff>
    </xdr:from>
    <xdr:to>
      <xdr:col>15</xdr:col>
      <xdr:colOff>382270</xdr:colOff>
      <xdr:row>36</xdr:row>
      <xdr:rowOff>21590</xdr:rowOff>
    </xdr:to>
    <xdr:sp>
      <xdr:nvSpPr>
        <xdr:cNvPr id="15" name="Pentagon 14"/>
        <xdr:cNvSpPr/>
      </xdr:nvSpPr>
      <xdr:spPr>
        <a:xfrm flipH="1">
          <a:off x="4267200" y="1270"/>
          <a:ext cx="7687310" cy="7701280"/>
        </a:xfrm>
        <a:prstGeom prst="homePlate">
          <a:avLst>
            <a:gd name="adj" fmla="val 32712"/>
          </a:avLst>
        </a:prstGeom>
        <a:gradFill>
          <a:gsLst>
            <a:gs pos="100000">
              <a:schemeClr val="tx1"/>
            </a:gs>
            <a:gs pos="29000">
              <a:srgbClr val="2A2A2A"/>
            </a:gs>
            <a:gs pos="46000">
              <a:srgbClr val="6E7780"/>
            </a:gs>
            <a:gs pos="10000">
              <a:srgbClr val="0D0D0C"/>
            </a:gs>
            <a:gs pos="100000">
              <a:srgbClr val="929292"/>
            </a:gs>
          </a:gsLst>
          <a:lin ang="10800000" scaled="0"/>
        </a:gradFill>
        <a:ln w="41275"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223520</xdr:colOff>
      <xdr:row>0</xdr:row>
      <xdr:rowOff>1270</xdr:rowOff>
    </xdr:from>
    <xdr:to>
      <xdr:col>16</xdr:col>
      <xdr:colOff>594360</xdr:colOff>
      <xdr:row>36</xdr:row>
      <xdr:rowOff>21590</xdr:rowOff>
    </xdr:to>
    <xdr:sp>
      <xdr:nvSpPr>
        <xdr:cNvPr id="14" name="Pentagon 13"/>
        <xdr:cNvSpPr/>
      </xdr:nvSpPr>
      <xdr:spPr>
        <a:xfrm flipH="1">
          <a:off x="5212080" y="1270"/>
          <a:ext cx="7686040" cy="7701280"/>
        </a:xfrm>
        <a:prstGeom prst="homePlate">
          <a:avLst>
            <a:gd name="adj" fmla="val 32712"/>
          </a:avLst>
        </a:prstGeom>
        <a:gradFill>
          <a:gsLst>
            <a:gs pos="100000">
              <a:schemeClr val="tx1"/>
            </a:gs>
            <a:gs pos="29000">
              <a:srgbClr val="2A2A2A"/>
            </a:gs>
            <a:gs pos="46000">
              <a:srgbClr val="6E7780"/>
            </a:gs>
            <a:gs pos="10000">
              <a:srgbClr val="0D0D0C"/>
            </a:gs>
            <a:gs pos="100000">
              <a:srgbClr val="929292"/>
            </a:gs>
          </a:gsLst>
          <a:lin ang="10800000" scaled="0"/>
        </a:gradFill>
        <a:ln w="41275"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497840</xdr:colOff>
      <xdr:row>0</xdr:row>
      <xdr:rowOff>12700</xdr:rowOff>
    </xdr:from>
    <xdr:to>
      <xdr:col>21</xdr:col>
      <xdr:colOff>170180</xdr:colOff>
      <xdr:row>36</xdr:row>
      <xdr:rowOff>22225</xdr:rowOff>
    </xdr:to>
    <xdr:sp>
      <xdr:nvSpPr>
        <xdr:cNvPr id="13" name="Pentagon 12"/>
        <xdr:cNvSpPr/>
      </xdr:nvSpPr>
      <xdr:spPr>
        <a:xfrm flipH="1">
          <a:off x="6217920" y="12700"/>
          <a:ext cx="9913620" cy="7690485"/>
        </a:xfrm>
        <a:prstGeom prst="homePlate">
          <a:avLst>
            <a:gd name="adj" fmla="val 32712"/>
          </a:avLst>
        </a:prstGeom>
        <a:gradFill>
          <a:gsLst>
            <a:gs pos="100000">
              <a:schemeClr val="tx1"/>
            </a:gs>
            <a:gs pos="29000">
              <a:srgbClr val="2A2A2A"/>
            </a:gs>
            <a:gs pos="46000">
              <a:srgbClr val="6E7780"/>
            </a:gs>
            <a:gs pos="10000">
              <a:srgbClr val="0D0D0C"/>
            </a:gs>
            <a:gs pos="100000">
              <a:srgbClr val="929292"/>
            </a:gs>
          </a:gsLst>
          <a:lin ang="10800000" scaled="0"/>
        </a:gradFill>
        <a:ln w="41275">
          <a:noFill/>
        </a:ln>
        <a:effectLst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99060</xdr:colOff>
      <xdr:row>0</xdr:row>
      <xdr:rowOff>1270</xdr:rowOff>
    </xdr:from>
    <xdr:to>
      <xdr:col>19</xdr:col>
      <xdr:colOff>469900</xdr:colOff>
      <xdr:row>36</xdr:row>
      <xdr:rowOff>21590</xdr:rowOff>
    </xdr:to>
    <xdr:sp>
      <xdr:nvSpPr>
        <xdr:cNvPr id="12" name="Pentagon 11"/>
        <xdr:cNvSpPr/>
      </xdr:nvSpPr>
      <xdr:spPr>
        <a:xfrm flipH="1">
          <a:off x="7282180" y="1270"/>
          <a:ext cx="7686040" cy="7701280"/>
        </a:xfrm>
        <a:prstGeom prst="homePlate">
          <a:avLst>
            <a:gd name="adj" fmla="val 32712"/>
          </a:avLst>
        </a:prstGeom>
        <a:noFill/>
        <a:ln w="41275"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552450</xdr:colOff>
      <xdr:row>2</xdr:row>
      <xdr:rowOff>191135</xdr:rowOff>
    </xdr:from>
    <xdr:to>
      <xdr:col>11</xdr:col>
      <xdr:colOff>729615</xdr:colOff>
      <xdr:row>7</xdr:row>
      <xdr:rowOff>106045</xdr:rowOff>
    </xdr:to>
    <xdr:sp>
      <xdr:nvSpPr>
        <xdr:cNvPr id="17" name="Rounded Rectangle 16"/>
        <xdr:cNvSpPr/>
      </xdr:nvSpPr>
      <xdr:spPr>
        <a:xfrm>
          <a:off x="1583690" y="617855"/>
          <a:ext cx="7792085" cy="981710"/>
        </a:xfrm>
        <a:prstGeom prst="roundRect">
          <a:avLst>
            <a:gd name="adj" fmla="val 22396"/>
          </a:avLst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382270</xdr:colOff>
      <xdr:row>1</xdr:row>
      <xdr:rowOff>127635</xdr:rowOff>
    </xdr:from>
    <xdr:to>
      <xdr:col>1</xdr:col>
      <xdr:colOff>269875</xdr:colOff>
      <xdr:row>33</xdr:row>
      <xdr:rowOff>38735</xdr:rowOff>
    </xdr:to>
    <xdr:grpSp>
      <xdr:nvGrpSpPr>
        <xdr:cNvPr id="21" name="Group 20"/>
        <xdr:cNvGrpSpPr/>
      </xdr:nvGrpSpPr>
      <xdr:grpSpPr>
        <a:xfrm>
          <a:off x="382270" y="340995"/>
          <a:ext cx="918845" cy="6738620"/>
          <a:chOff x="582" y="498"/>
          <a:chExt cx="973" cy="9993"/>
        </a:xfrm>
      </xdr:grpSpPr>
      <xdr:sp>
        <xdr:nvSpPr>
          <xdr:cNvPr id="20" name="Rounded Rectangle 19"/>
          <xdr:cNvSpPr/>
        </xdr:nvSpPr>
        <xdr:spPr>
          <a:xfrm>
            <a:off x="715" y="499"/>
            <a:ext cx="840" cy="9992"/>
          </a:xfrm>
          <a:prstGeom prst="roundRect">
            <a:avLst>
              <a:gd name="adj" fmla="val 22396"/>
            </a:avLst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18" name="Rounded Rectangle 17"/>
          <xdr:cNvSpPr/>
        </xdr:nvSpPr>
        <xdr:spPr>
          <a:xfrm>
            <a:off x="582" y="498"/>
            <a:ext cx="840" cy="9992"/>
          </a:xfrm>
          <a:prstGeom prst="roundRect">
            <a:avLst>
              <a:gd name="adj" fmla="val 22396"/>
            </a:avLst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443865</xdr:colOff>
      <xdr:row>3</xdr:row>
      <xdr:rowOff>146050</xdr:rowOff>
    </xdr:from>
    <xdr:to>
      <xdr:col>3</xdr:col>
      <xdr:colOff>657860</xdr:colOff>
      <xdr:row>5</xdr:row>
      <xdr:rowOff>127635</xdr:rowOff>
    </xdr:to>
    <xdr:sp>
      <xdr:nvSpPr>
        <xdr:cNvPr id="22" name="Text Box 21"/>
        <xdr:cNvSpPr txBox="1"/>
      </xdr:nvSpPr>
      <xdr:spPr>
        <a:xfrm>
          <a:off x="1475105" y="786130"/>
          <a:ext cx="1677035" cy="408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US" sz="1100">
              <a:solidFill>
                <a:schemeClr val="bg1">
                  <a:lumMod val="85000"/>
                </a:schemeClr>
              </a:solidFill>
            </a:rPr>
            <a:t>Total </a:t>
          </a:r>
          <a:r>
            <a:rPr lang="en-US" sz="1100">
              <a:solidFill>
                <a:schemeClr val="bg1">
                  <a:lumMod val="85000"/>
                </a:schemeClr>
              </a:solidFill>
              <a:latin typeface="Arial" panose="020B0604020202090204" pitchFamily="7" charset="0"/>
              <a:cs typeface="Arial" panose="020B0604020202090204" pitchFamily="7" charset="0"/>
            </a:rPr>
            <a:t>Revenue</a:t>
          </a:r>
          <a:endParaRPr lang="en-US" sz="1100">
            <a:solidFill>
              <a:schemeClr val="bg1">
                <a:lumMod val="85000"/>
              </a:schemeClr>
            </a:solidFill>
            <a:latin typeface="Arial" panose="020B0604020202090204" pitchFamily="7" charset="0"/>
            <a:cs typeface="Arial" panose="020B0604020202090204" pitchFamily="7" charset="0"/>
          </a:endParaRPr>
        </a:p>
      </xdr:txBody>
    </xdr:sp>
    <xdr:clientData/>
  </xdr:twoCellAnchor>
  <xdr:twoCellAnchor>
    <xdr:from>
      <xdr:col>3</xdr:col>
      <xdr:colOff>314325</xdr:colOff>
      <xdr:row>3</xdr:row>
      <xdr:rowOff>146050</xdr:rowOff>
    </xdr:from>
    <xdr:to>
      <xdr:col>5</xdr:col>
      <xdr:colOff>528320</xdr:colOff>
      <xdr:row>5</xdr:row>
      <xdr:rowOff>125730</xdr:rowOff>
    </xdr:to>
    <xdr:sp>
      <xdr:nvSpPr>
        <xdr:cNvPr id="23" name="Text Box 22"/>
        <xdr:cNvSpPr txBox="1"/>
      </xdr:nvSpPr>
      <xdr:spPr>
        <a:xfrm>
          <a:off x="2808605" y="786130"/>
          <a:ext cx="1976755" cy="406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solidFill>
                <a:schemeClr val="bg1">
                  <a:lumMod val="85000"/>
                </a:schemeClr>
              </a:solidFill>
            </a:rPr>
            <a:t>Total Units</a:t>
          </a:r>
          <a:endParaRPr lang="en-US" sz="1100">
            <a:solidFill>
              <a:schemeClr val="bg1">
                <a:lumMod val="85000"/>
              </a:schemeClr>
            </a:solidFill>
            <a:latin typeface="Arial" panose="020B0604020202090204" pitchFamily="7" charset="0"/>
            <a:cs typeface="Arial" panose="020B0604020202090204" pitchFamily="7" charset="0"/>
          </a:endParaRPr>
        </a:p>
      </xdr:txBody>
    </xdr:sp>
    <xdr:clientData/>
  </xdr:twoCellAnchor>
  <xdr:twoCellAnchor>
    <xdr:from>
      <xdr:col>5</xdr:col>
      <xdr:colOff>184785</xdr:colOff>
      <xdr:row>3</xdr:row>
      <xdr:rowOff>146050</xdr:rowOff>
    </xdr:from>
    <xdr:to>
      <xdr:col>7</xdr:col>
      <xdr:colOff>398780</xdr:colOff>
      <xdr:row>5</xdr:row>
      <xdr:rowOff>125730</xdr:rowOff>
    </xdr:to>
    <xdr:sp>
      <xdr:nvSpPr>
        <xdr:cNvPr id="24" name="Text Box 23"/>
        <xdr:cNvSpPr txBox="1"/>
      </xdr:nvSpPr>
      <xdr:spPr>
        <a:xfrm>
          <a:off x="4441825" y="786130"/>
          <a:ext cx="1677035" cy="406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solidFill>
                <a:schemeClr val="bg1">
                  <a:lumMod val="85000"/>
                </a:schemeClr>
              </a:solidFill>
            </a:rPr>
            <a:t>Total Cost</a:t>
          </a:r>
          <a:endParaRPr lang="en-US" sz="1100">
            <a:solidFill>
              <a:schemeClr val="bg1">
                <a:lumMod val="85000"/>
              </a:schemeClr>
            </a:solidFill>
            <a:latin typeface="Arial" panose="020B0604020202090204" pitchFamily="7" charset="0"/>
            <a:cs typeface="Arial" panose="020B0604020202090204" pitchFamily="7" charset="0"/>
          </a:endParaRPr>
        </a:p>
      </xdr:txBody>
    </xdr:sp>
    <xdr:clientData/>
  </xdr:twoCellAnchor>
  <xdr:twoCellAnchor>
    <xdr:from>
      <xdr:col>7</xdr:col>
      <xdr:colOff>55245</xdr:colOff>
      <xdr:row>3</xdr:row>
      <xdr:rowOff>146050</xdr:rowOff>
    </xdr:from>
    <xdr:to>
      <xdr:col>9</xdr:col>
      <xdr:colOff>269240</xdr:colOff>
      <xdr:row>5</xdr:row>
      <xdr:rowOff>125730</xdr:rowOff>
    </xdr:to>
    <xdr:sp>
      <xdr:nvSpPr>
        <xdr:cNvPr id="25" name="Text Box 24"/>
        <xdr:cNvSpPr txBox="1"/>
      </xdr:nvSpPr>
      <xdr:spPr>
        <a:xfrm>
          <a:off x="5775325" y="786130"/>
          <a:ext cx="1677035" cy="406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solidFill>
                <a:schemeClr val="bg1">
                  <a:lumMod val="85000"/>
                </a:schemeClr>
              </a:solidFill>
            </a:rPr>
            <a:t>Total Gross Profit</a:t>
          </a:r>
          <a:endParaRPr lang="en-US" sz="1100">
            <a:solidFill>
              <a:schemeClr val="bg1">
                <a:lumMod val="85000"/>
              </a:schemeClr>
            </a:solidFill>
            <a:latin typeface="Arial" panose="020B0604020202090204" pitchFamily="7" charset="0"/>
            <a:cs typeface="Arial" panose="020B0604020202090204" pitchFamily="7" charset="0"/>
          </a:endParaRPr>
        </a:p>
      </xdr:txBody>
    </xdr:sp>
    <xdr:clientData/>
  </xdr:twoCellAnchor>
  <xdr:twoCellAnchor>
    <xdr:from>
      <xdr:col>9</xdr:col>
      <xdr:colOff>63500</xdr:colOff>
      <xdr:row>3</xdr:row>
      <xdr:rowOff>146050</xdr:rowOff>
    </xdr:from>
    <xdr:to>
      <xdr:col>11</xdr:col>
      <xdr:colOff>277495</xdr:colOff>
      <xdr:row>5</xdr:row>
      <xdr:rowOff>125730</xdr:rowOff>
    </xdr:to>
    <xdr:sp>
      <xdr:nvSpPr>
        <xdr:cNvPr id="26" name="Text Box 25"/>
        <xdr:cNvSpPr txBox="1"/>
      </xdr:nvSpPr>
      <xdr:spPr>
        <a:xfrm>
          <a:off x="7246620" y="786130"/>
          <a:ext cx="1677035" cy="406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solidFill>
                <a:schemeClr val="bg1">
                  <a:lumMod val="85000"/>
                </a:schemeClr>
              </a:solidFill>
            </a:rPr>
            <a:t>Average Margin %</a:t>
          </a:r>
          <a:endParaRPr lang="en-US" sz="1100">
            <a:solidFill>
              <a:schemeClr val="bg1">
                <a:lumMod val="85000"/>
              </a:schemeClr>
            </a:solidFill>
            <a:latin typeface="Arial" panose="020B0604020202090204" pitchFamily="7" charset="0"/>
            <a:cs typeface="Arial" panose="020B0604020202090204" pitchFamily="7" charset="0"/>
          </a:endParaRPr>
        </a:p>
      </xdr:txBody>
    </xdr:sp>
    <xdr:clientData/>
  </xdr:twoCellAnchor>
  <xdr:twoCellAnchor>
    <xdr:from>
      <xdr:col>1</xdr:col>
      <xdr:colOff>443865</xdr:colOff>
      <xdr:row>5</xdr:row>
      <xdr:rowOff>171450</xdr:rowOff>
    </xdr:from>
    <xdr:to>
      <xdr:col>3</xdr:col>
      <xdr:colOff>657860</xdr:colOff>
      <xdr:row>7</xdr:row>
      <xdr:rowOff>153035</xdr:rowOff>
    </xdr:to>
    <xdr:sp>
      <xdr:nvSpPr>
        <xdr:cNvPr id="32" name="Text Box 31"/>
        <xdr:cNvSpPr txBox="1"/>
      </xdr:nvSpPr>
      <xdr:spPr>
        <a:xfrm>
          <a:off x="1475105" y="1238250"/>
          <a:ext cx="1677035" cy="408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solidFill>
                <a:schemeClr val="bg1">
                  <a:lumMod val="85000"/>
                </a:schemeClr>
              </a:solidFill>
              <a:latin typeface="Arial" panose="020B0604020202090204" pitchFamily="7" charset="0"/>
              <a:cs typeface="Arial" panose="020B0604020202090204" pitchFamily="7" charset="0"/>
            </a:rPr>
            <a:t>162332</a:t>
          </a:r>
          <a:r>
            <a:rPr lang="en-US" sz="1800">
              <a:solidFill>
                <a:schemeClr val="bg1">
                  <a:lumMod val="85000"/>
                </a:schemeClr>
              </a:solidFill>
              <a:latin typeface="Arial" panose="020B0604020202090204" pitchFamily="7" charset="0"/>
              <a:cs typeface="Arial" panose="020B0604020202090204" pitchFamily="7" charset="0"/>
            </a:rPr>
            <a:t>.</a:t>
          </a:r>
          <a:r>
            <a:rPr lang="en-US" sz="1600">
              <a:solidFill>
                <a:schemeClr val="bg1">
                  <a:lumMod val="85000"/>
                </a:schemeClr>
              </a:solidFill>
              <a:latin typeface="Arial" panose="020B0604020202090204" pitchFamily="7" charset="0"/>
              <a:cs typeface="Arial" panose="020B0604020202090204" pitchFamily="7" charset="0"/>
            </a:rPr>
            <a:t>97</a:t>
          </a:r>
          <a:endParaRPr lang="en-US" sz="1600">
            <a:solidFill>
              <a:schemeClr val="bg1">
                <a:lumMod val="85000"/>
              </a:schemeClr>
            </a:solidFill>
            <a:latin typeface="Arial" panose="020B0604020202090204" pitchFamily="7" charset="0"/>
            <a:cs typeface="Arial" panose="020B0604020202090204" pitchFamily="7" charset="0"/>
          </a:endParaRPr>
        </a:p>
      </xdr:txBody>
    </xdr:sp>
    <xdr:clientData/>
  </xdr:twoCellAnchor>
  <xdr:twoCellAnchor>
    <xdr:from>
      <xdr:col>3</xdr:col>
      <xdr:colOff>314325</xdr:colOff>
      <xdr:row>5</xdr:row>
      <xdr:rowOff>173355</xdr:rowOff>
    </xdr:from>
    <xdr:to>
      <xdr:col>5</xdr:col>
      <xdr:colOff>528320</xdr:colOff>
      <xdr:row>7</xdr:row>
      <xdr:rowOff>153035</xdr:rowOff>
    </xdr:to>
    <xdr:sp>
      <xdr:nvSpPr>
        <xdr:cNvPr id="33" name="Text Box 32"/>
        <xdr:cNvSpPr txBox="1"/>
      </xdr:nvSpPr>
      <xdr:spPr>
        <a:xfrm>
          <a:off x="2808605" y="1240155"/>
          <a:ext cx="1976755" cy="406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bg1">
                  <a:lumMod val="85000"/>
                </a:schemeClr>
              </a:solidFill>
              <a:latin typeface="Arial" panose="020B0604020202090204" pitchFamily="7" charset="0"/>
              <a:cs typeface="Arial" panose="020B0604020202090204" pitchFamily="7" charset="0"/>
            </a:rPr>
            <a:t>2565</a:t>
          </a:r>
          <a:endParaRPr lang="en-US" sz="1200">
            <a:solidFill>
              <a:schemeClr val="bg1">
                <a:lumMod val="85000"/>
              </a:schemeClr>
            </a:solidFill>
            <a:latin typeface="Arial" panose="020B0604020202090204" pitchFamily="7" charset="0"/>
            <a:cs typeface="Arial" panose="020B0604020202090204" pitchFamily="7" charset="0"/>
          </a:endParaRPr>
        </a:p>
      </xdr:txBody>
    </xdr:sp>
    <xdr:clientData/>
  </xdr:twoCellAnchor>
  <xdr:twoCellAnchor>
    <xdr:from>
      <xdr:col>5</xdr:col>
      <xdr:colOff>184785</xdr:colOff>
      <xdr:row>5</xdr:row>
      <xdr:rowOff>173355</xdr:rowOff>
    </xdr:from>
    <xdr:to>
      <xdr:col>7</xdr:col>
      <xdr:colOff>398780</xdr:colOff>
      <xdr:row>7</xdr:row>
      <xdr:rowOff>153035</xdr:rowOff>
    </xdr:to>
    <xdr:sp>
      <xdr:nvSpPr>
        <xdr:cNvPr id="34" name="Text Box 33"/>
        <xdr:cNvSpPr txBox="1"/>
      </xdr:nvSpPr>
      <xdr:spPr>
        <a:xfrm>
          <a:off x="4441825" y="1240155"/>
          <a:ext cx="1677035" cy="406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solidFill>
                <a:schemeClr val="bg1">
                  <a:lumMod val="85000"/>
                </a:schemeClr>
              </a:solidFill>
              <a:latin typeface="Arial" panose="020B0604020202090204" pitchFamily="7" charset="0"/>
              <a:cs typeface="Arial" panose="020B0604020202090204" pitchFamily="7" charset="0"/>
            </a:rPr>
            <a:t>83527.21</a:t>
          </a:r>
          <a:endParaRPr lang="en-US" sz="1100">
            <a:solidFill>
              <a:schemeClr val="bg1">
                <a:lumMod val="85000"/>
              </a:schemeClr>
            </a:solidFill>
            <a:latin typeface="Arial" panose="020B0604020202090204" pitchFamily="7" charset="0"/>
            <a:cs typeface="Arial" panose="020B0604020202090204" pitchFamily="7" charset="0"/>
          </a:endParaRPr>
        </a:p>
      </xdr:txBody>
    </xdr:sp>
    <xdr:clientData/>
  </xdr:twoCellAnchor>
  <xdr:twoCellAnchor>
    <xdr:from>
      <xdr:col>7</xdr:col>
      <xdr:colOff>55245</xdr:colOff>
      <xdr:row>5</xdr:row>
      <xdr:rowOff>173355</xdr:rowOff>
    </xdr:from>
    <xdr:to>
      <xdr:col>9</xdr:col>
      <xdr:colOff>269240</xdr:colOff>
      <xdr:row>7</xdr:row>
      <xdr:rowOff>153035</xdr:rowOff>
    </xdr:to>
    <xdr:sp>
      <xdr:nvSpPr>
        <xdr:cNvPr id="35" name="Text Box 34"/>
        <xdr:cNvSpPr txBox="1"/>
      </xdr:nvSpPr>
      <xdr:spPr>
        <a:xfrm>
          <a:off x="5775325" y="1240155"/>
          <a:ext cx="1677035" cy="406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solidFill>
                <a:schemeClr val="bg1">
                  <a:lumMod val="85000"/>
                </a:schemeClr>
              </a:solidFill>
              <a:latin typeface="Arial" panose="020B0604020202090204" pitchFamily="7" charset="0"/>
              <a:cs typeface="Arial" panose="020B0604020202090204" pitchFamily="7" charset="0"/>
            </a:rPr>
            <a:t>78805.76</a:t>
          </a:r>
          <a:endParaRPr lang="en-US" sz="1600">
            <a:solidFill>
              <a:schemeClr val="bg1">
                <a:lumMod val="85000"/>
              </a:schemeClr>
            </a:solidFill>
            <a:latin typeface="Arial" panose="020B0604020202090204" pitchFamily="7" charset="0"/>
            <a:cs typeface="Arial" panose="020B0604020202090204" pitchFamily="7" charset="0"/>
          </a:endParaRPr>
        </a:p>
      </xdr:txBody>
    </xdr:sp>
    <xdr:clientData/>
  </xdr:twoCellAnchor>
  <xdr:twoCellAnchor>
    <xdr:from>
      <xdr:col>9</xdr:col>
      <xdr:colOff>63500</xdr:colOff>
      <xdr:row>5</xdr:row>
      <xdr:rowOff>173355</xdr:rowOff>
    </xdr:from>
    <xdr:to>
      <xdr:col>11</xdr:col>
      <xdr:colOff>277495</xdr:colOff>
      <xdr:row>7</xdr:row>
      <xdr:rowOff>153035</xdr:rowOff>
    </xdr:to>
    <xdr:sp>
      <xdr:nvSpPr>
        <xdr:cNvPr id="36" name="Text Box 35"/>
        <xdr:cNvSpPr txBox="1"/>
      </xdr:nvSpPr>
      <xdr:spPr>
        <a:xfrm>
          <a:off x="7246620" y="1240155"/>
          <a:ext cx="1677035" cy="406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solidFill>
                <a:schemeClr val="bg1">
                  <a:lumMod val="85000"/>
                </a:schemeClr>
              </a:solidFill>
              <a:latin typeface="Arial" panose="020B0604020202090204" pitchFamily="7" charset="0"/>
              <a:cs typeface="Arial" panose="020B0604020202090204" pitchFamily="7" charset="0"/>
            </a:rPr>
            <a:t>48</a:t>
          </a:r>
          <a:r>
            <a:rPr lang="en-US" sz="1100">
              <a:solidFill>
                <a:schemeClr val="bg1">
                  <a:lumMod val="85000"/>
                </a:schemeClr>
              </a:solidFill>
              <a:latin typeface="Arial" panose="020B0604020202090204" pitchFamily="7" charset="0"/>
              <a:cs typeface="Arial" panose="020B0604020202090204" pitchFamily="7" charset="0"/>
            </a:rPr>
            <a:t>.</a:t>
          </a:r>
          <a:r>
            <a:rPr lang="en-US" sz="1600">
              <a:solidFill>
                <a:schemeClr val="bg1">
                  <a:lumMod val="85000"/>
                </a:schemeClr>
              </a:solidFill>
              <a:latin typeface="Arial" panose="020B0604020202090204" pitchFamily="7" charset="0"/>
              <a:cs typeface="Arial" panose="020B0604020202090204" pitchFamily="7" charset="0"/>
            </a:rPr>
            <a:t>54575137</a:t>
          </a:r>
          <a:endParaRPr lang="en-US" sz="1600">
            <a:solidFill>
              <a:schemeClr val="bg1">
                <a:lumMod val="85000"/>
              </a:schemeClr>
            </a:solidFill>
            <a:latin typeface="Arial" panose="020B0604020202090204" pitchFamily="7" charset="0"/>
            <a:cs typeface="Arial" panose="020B0604020202090204" pitchFamily="7" charset="0"/>
          </a:endParaRPr>
        </a:p>
      </xdr:txBody>
    </xdr:sp>
    <xdr:clientData/>
  </xdr:twoCellAnchor>
  <xdr:twoCellAnchor>
    <xdr:from>
      <xdr:col>1</xdr:col>
      <xdr:colOff>594995</xdr:colOff>
      <xdr:row>5</xdr:row>
      <xdr:rowOff>103505</xdr:rowOff>
    </xdr:from>
    <xdr:to>
      <xdr:col>11</xdr:col>
      <xdr:colOff>711200</xdr:colOff>
      <xdr:row>5</xdr:row>
      <xdr:rowOff>179705</xdr:rowOff>
    </xdr:to>
    <xdr:sp>
      <xdr:nvSpPr>
        <xdr:cNvPr id="2" name="Rectangles 1"/>
        <xdr:cNvSpPr/>
      </xdr:nvSpPr>
      <xdr:spPr>
        <a:xfrm>
          <a:off x="1626235" y="1170305"/>
          <a:ext cx="7731125" cy="76200"/>
        </a:xfrm>
        <a:prstGeom prst="rect">
          <a:avLst/>
        </a:prstGeom>
        <a:gradFill>
          <a:gsLst>
            <a:gs pos="100000">
              <a:srgbClr val="151515">
                <a:alpha val="100000"/>
              </a:srgbClr>
            </a:gs>
            <a:gs pos="13000">
              <a:schemeClr val="bg1">
                <a:lumMod val="50000"/>
              </a:schemeClr>
            </a:gs>
            <a:gs pos="0">
              <a:srgbClr val="2A2A2A"/>
            </a:gs>
          </a:gsLst>
          <a:path path="shap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>
            <a:gradFill>
              <a:gsLst>
                <a:gs pos="0">
                  <a:schemeClr val="tx1">
                    <a:lumMod val="50000"/>
                    <a:lumOff val="50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2700000" scaled="0"/>
            </a:gradFill>
          </a:endParaRPr>
        </a:p>
      </xdr:txBody>
    </xdr:sp>
    <xdr:clientData/>
  </xdr:twoCellAnchor>
  <xdr:twoCellAnchor>
    <xdr:from>
      <xdr:col>4</xdr:col>
      <xdr:colOff>192405</xdr:colOff>
      <xdr:row>5</xdr:row>
      <xdr:rowOff>83820</xdr:rowOff>
    </xdr:from>
    <xdr:to>
      <xdr:col>4</xdr:col>
      <xdr:colOff>319405</xdr:colOff>
      <xdr:row>5</xdr:row>
      <xdr:rowOff>191135</xdr:rowOff>
    </xdr:to>
    <xdr:sp>
      <xdr:nvSpPr>
        <xdr:cNvPr id="3" name="Oval 2"/>
        <xdr:cNvSpPr/>
      </xdr:nvSpPr>
      <xdr:spPr>
        <a:xfrm>
          <a:off x="3717925" y="1150620"/>
          <a:ext cx="127000" cy="107315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6</xdr:col>
      <xdr:colOff>234315</xdr:colOff>
      <xdr:row>5</xdr:row>
      <xdr:rowOff>83820</xdr:rowOff>
    </xdr:from>
    <xdr:to>
      <xdr:col>6</xdr:col>
      <xdr:colOff>361315</xdr:colOff>
      <xdr:row>5</xdr:row>
      <xdr:rowOff>191135</xdr:rowOff>
    </xdr:to>
    <xdr:sp>
      <xdr:nvSpPr>
        <xdr:cNvPr id="7" name="Oval 6"/>
        <xdr:cNvSpPr/>
      </xdr:nvSpPr>
      <xdr:spPr>
        <a:xfrm>
          <a:off x="5222875" y="1150620"/>
          <a:ext cx="127000" cy="107315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107315</xdr:colOff>
      <xdr:row>5</xdr:row>
      <xdr:rowOff>83820</xdr:rowOff>
    </xdr:from>
    <xdr:to>
      <xdr:col>8</xdr:col>
      <xdr:colOff>234315</xdr:colOff>
      <xdr:row>5</xdr:row>
      <xdr:rowOff>191135</xdr:rowOff>
    </xdr:to>
    <xdr:sp>
      <xdr:nvSpPr>
        <xdr:cNvPr id="8" name="Oval 7"/>
        <xdr:cNvSpPr/>
      </xdr:nvSpPr>
      <xdr:spPr>
        <a:xfrm>
          <a:off x="6558915" y="1150620"/>
          <a:ext cx="127000" cy="107315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106680</xdr:colOff>
      <xdr:row>5</xdr:row>
      <xdr:rowOff>83820</xdr:rowOff>
    </xdr:from>
    <xdr:to>
      <xdr:col>10</xdr:col>
      <xdr:colOff>233680</xdr:colOff>
      <xdr:row>5</xdr:row>
      <xdr:rowOff>191135</xdr:rowOff>
    </xdr:to>
    <xdr:sp>
      <xdr:nvSpPr>
        <xdr:cNvPr id="9" name="Oval 8"/>
        <xdr:cNvSpPr/>
      </xdr:nvSpPr>
      <xdr:spPr>
        <a:xfrm>
          <a:off x="8021320" y="1150620"/>
          <a:ext cx="127000" cy="107315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456565</xdr:colOff>
      <xdr:row>5</xdr:row>
      <xdr:rowOff>83820</xdr:rowOff>
    </xdr:from>
    <xdr:to>
      <xdr:col>2</xdr:col>
      <xdr:colOff>583565</xdr:colOff>
      <xdr:row>5</xdr:row>
      <xdr:rowOff>191135</xdr:rowOff>
    </xdr:to>
    <xdr:sp>
      <xdr:nvSpPr>
        <xdr:cNvPr id="10" name="Oval 9"/>
        <xdr:cNvSpPr/>
      </xdr:nvSpPr>
      <xdr:spPr>
        <a:xfrm>
          <a:off x="2219325" y="1150620"/>
          <a:ext cx="127000" cy="107315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699135</xdr:colOff>
      <xdr:row>0</xdr:row>
      <xdr:rowOff>191770</xdr:rowOff>
    </xdr:from>
    <xdr:to>
      <xdr:col>5</xdr:col>
      <xdr:colOff>506730</xdr:colOff>
      <xdr:row>2</xdr:row>
      <xdr:rowOff>170815</xdr:rowOff>
    </xdr:to>
    <xdr:sp>
      <xdr:nvSpPr>
        <xdr:cNvPr id="11" name="Text Box 10"/>
        <xdr:cNvSpPr txBox="1"/>
      </xdr:nvSpPr>
      <xdr:spPr>
        <a:xfrm>
          <a:off x="1730375" y="191770"/>
          <a:ext cx="3033395" cy="405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>
              <a:solidFill>
                <a:schemeClr val="bg2">
                  <a:lumMod val="75000"/>
                </a:schemeClr>
              </a:solidFill>
              <a:latin typeface="Arial Black" panose="020B0A04020102020204" charset="0"/>
              <a:cs typeface="Arial Black" panose="020B0A04020102020204" charset="0"/>
            </a:rPr>
            <a:t>Amazon Sales Dashboard</a:t>
          </a:r>
          <a:endParaRPr lang="en-US" sz="1600">
            <a:solidFill>
              <a:schemeClr val="bg2">
                <a:lumMod val="75000"/>
              </a:schemeClr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1</xdr:col>
      <xdr:colOff>561340</xdr:colOff>
      <xdr:row>8</xdr:row>
      <xdr:rowOff>36830</xdr:rowOff>
    </xdr:from>
    <xdr:to>
      <xdr:col>7</xdr:col>
      <xdr:colOff>427990</xdr:colOff>
      <xdr:row>21</xdr:row>
      <xdr:rowOff>178435</xdr:rowOff>
    </xdr:to>
    <xdr:grpSp>
      <xdr:nvGrpSpPr>
        <xdr:cNvPr id="30" name="Group 29"/>
        <xdr:cNvGrpSpPr/>
      </xdr:nvGrpSpPr>
      <xdr:grpSpPr>
        <a:xfrm>
          <a:off x="1592580" y="1743710"/>
          <a:ext cx="4555490" cy="2915285"/>
          <a:chOff x="1998" y="3135"/>
          <a:chExt cx="7164" cy="4460"/>
        </a:xfrm>
      </xdr:grpSpPr>
      <xdr:sp>
        <xdr:nvSpPr>
          <xdr:cNvPr id="29" name="Rounded Rectangle 28"/>
          <xdr:cNvSpPr/>
        </xdr:nvSpPr>
        <xdr:spPr>
          <a:xfrm>
            <a:off x="2032" y="3135"/>
            <a:ext cx="7131" cy="4424"/>
          </a:xfrm>
          <a:prstGeom prst="roundRect">
            <a:avLst>
              <a:gd name="adj" fmla="val 4970"/>
            </a:avLst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19" name="Rounded Rectangle 18"/>
          <xdr:cNvSpPr/>
        </xdr:nvSpPr>
        <xdr:spPr>
          <a:xfrm>
            <a:off x="1998" y="3171"/>
            <a:ext cx="7131" cy="4424"/>
          </a:xfrm>
          <a:prstGeom prst="roundRect">
            <a:avLst>
              <a:gd name="adj" fmla="val 4970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646430</xdr:colOff>
      <xdr:row>9</xdr:row>
      <xdr:rowOff>194945</xdr:rowOff>
    </xdr:from>
    <xdr:to>
      <xdr:col>6</xdr:col>
      <xdr:colOff>257175</xdr:colOff>
      <xdr:row>21</xdr:row>
      <xdr:rowOff>71120</xdr:rowOff>
    </xdr:to>
    <xdr:graphicFrame>
      <xdr:nvGraphicFramePr>
        <xdr:cNvPr id="38" name="Chart 37"/>
        <xdr:cNvGraphicFramePr/>
      </xdr:nvGraphicFramePr>
      <xdr:xfrm>
        <a:off x="1677670" y="2115185"/>
        <a:ext cx="3568065" cy="2436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220980</xdr:colOff>
      <xdr:row>9</xdr:row>
      <xdr:rowOff>128270</xdr:rowOff>
    </xdr:from>
    <xdr:to>
      <xdr:col>7</xdr:col>
      <xdr:colOff>165735</xdr:colOff>
      <xdr:row>12</xdr:row>
      <xdr:rowOff>200025</xdr:rowOff>
    </xdr:to>
    <xdr:pic>
      <xdr:nvPicPr>
        <xdr:cNvPr id="47" name="Picture 46" descr="placeholder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209540" y="2048510"/>
          <a:ext cx="676275" cy="711835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</a:effectLst>
      </xdr:spPr>
    </xdr:pic>
    <xdr:clientData/>
  </xdr:twoCellAnchor>
  <xdr:twoCellAnchor editAs="oneCell">
    <xdr:from>
      <xdr:col>6</xdr:col>
      <xdr:colOff>294640</xdr:colOff>
      <xdr:row>16</xdr:row>
      <xdr:rowOff>74930</xdr:rowOff>
    </xdr:from>
    <xdr:to>
      <xdr:col>7</xdr:col>
      <xdr:colOff>92075</xdr:colOff>
      <xdr:row>18</xdr:row>
      <xdr:rowOff>212725</xdr:rowOff>
    </xdr:to>
    <xdr:pic>
      <xdr:nvPicPr>
        <xdr:cNvPr id="48" name="Picture 47" descr="fea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283200" y="3488690"/>
          <a:ext cx="528955" cy="564515"/>
        </a:xfrm>
        <a:prstGeom prst="rect">
          <a:avLst/>
        </a:prstGeom>
      </xdr:spPr>
    </xdr:pic>
    <xdr:clientData/>
  </xdr:twoCellAnchor>
  <xdr:twoCellAnchor>
    <xdr:from>
      <xdr:col>8</xdr:col>
      <xdr:colOff>32385</xdr:colOff>
      <xdr:row>8</xdr:row>
      <xdr:rowOff>15240</xdr:rowOff>
    </xdr:from>
    <xdr:to>
      <xdr:col>14</xdr:col>
      <xdr:colOff>196215</xdr:colOff>
      <xdr:row>21</xdr:row>
      <xdr:rowOff>144780</xdr:rowOff>
    </xdr:to>
    <xdr:grpSp>
      <xdr:nvGrpSpPr>
        <xdr:cNvPr id="49" name="Group 48"/>
        <xdr:cNvGrpSpPr/>
      </xdr:nvGrpSpPr>
      <xdr:grpSpPr>
        <a:xfrm>
          <a:off x="6483985" y="1722120"/>
          <a:ext cx="4552950" cy="2903220"/>
          <a:chOff x="1998" y="3135"/>
          <a:chExt cx="7165" cy="4424"/>
        </a:xfrm>
      </xdr:grpSpPr>
      <xdr:sp>
        <xdr:nvSpPr>
          <xdr:cNvPr id="50" name="Rounded Rectangle 49"/>
          <xdr:cNvSpPr/>
        </xdr:nvSpPr>
        <xdr:spPr>
          <a:xfrm>
            <a:off x="2032" y="3135"/>
            <a:ext cx="7131" cy="4424"/>
          </a:xfrm>
          <a:prstGeom prst="roundRect">
            <a:avLst>
              <a:gd name="adj" fmla="val 4970"/>
            </a:avLst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51" name="Rounded Rectangle 50"/>
          <xdr:cNvSpPr/>
        </xdr:nvSpPr>
        <xdr:spPr>
          <a:xfrm>
            <a:off x="1998" y="3171"/>
            <a:ext cx="7164" cy="4371"/>
          </a:xfrm>
          <a:prstGeom prst="roundRect">
            <a:avLst>
              <a:gd name="adj" fmla="val 4970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117475</xdr:colOff>
      <xdr:row>9</xdr:row>
      <xdr:rowOff>142875</xdr:rowOff>
    </xdr:from>
    <xdr:to>
      <xdr:col>13</xdr:col>
      <xdr:colOff>200025</xdr:colOff>
      <xdr:row>21</xdr:row>
      <xdr:rowOff>101600</xdr:rowOff>
    </xdr:to>
    <xdr:graphicFrame>
      <xdr:nvGraphicFramePr>
        <xdr:cNvPr id="53" name="Chart 52"/>
        <xdr:cNvGraphicFramePr/>
      </xdr:nvGraphicFramePr>
      <xdr:xfrm>
        <a:off x="6569075" y="2063115"/>
        <a:ext cx="3740150" cy="2519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53975</xdr:colOff>
      <xdr:row>8</xdr:row>
      <xdr:rowOff>186690</xdr:rowOff>
    </xdr:from>
    <xdr:to>
      <xdr:col>11</xdr:col>
      <xdr:colOff>345440</xdr:colOff>
      <xdr:row>10</xdr:row>
      <xdr:rowOff>167640</xdr:rowOff>
    </xdr:to>
    <xdr:sp>
      <xdr:nvSpPr>
        <xdr:cNvPr id="55" name="Text Box 54"/>
        <xdr:cNvSpPr txBox="1"/>
      </xdr:nvSpPr>
      <xdr:spPr>
        <a:xfrm>
          <a:off x="6505575" y="1893570"/>
          <a:ext cx="2486025" cy="407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>
            <a:solidFill>
              <a:schemeClr val="bg1">
                <a:lumMod val="85000"/>
              </a:schemeClr>
            </a:solidFill>
            <a:latin typeface="Arial" panose="020B0604020202090204" pitchFamily="7" charset="0"/>
            <a:cs typeface="Arial" panose="020B0604020202090204" pitchFamily="7" charset="0"/>
          </a:endParaRPr>
        </a:p>
      </xdr:txBody>
    </xdr:sp>
    <xdr:clientData/>
  </xdr:twoCellAnchor>
  <xdr:twoCellAnchor>
    <xdr:from>
      <xdr:col>1</xdr:col>
      <xdr:colOff>596900</xdr:colOff>
      <xdr:row>8</xdr:row>
      <xdr:rowOff>81915</xdr:rowOff>
    </xdr:from>
    <xdr:to>
      <xdr:col>4</xdr:col>
      <xdr:colOff>619125</xdr:colOff>
      <xdr:row>10</xdr:row>
      <xdr:rowOff>49530</xdr:rowOff>
    </xdr:to>
    <xdr:grpSp>
      <xdr:nvGrpSpPr>
        <xdr:cNvPr id="57" name="Group 56"/>
        <xdr:cNvGrpSpPr/>
      </xdr:nvGrpSpPr>
      <xdr:grpSpPr>
        <a:xfrm>
          <a:off x="1628140" y="1788795"/>
          <a:ext cx="2516505" cy="394335"/>
          <a:chOff x="2147" y="2881"/>
          <a:chExt cx="3952" cy="603"/>
        </a:xfrm>
      </xdr:grpSpPr>
      <xdr:sp>
        <xdr:nvSpPr>
          <xdr:cNvPr id="31" name="Text Box 30"/>
          <xdr:cNvSpPr txBox="1"/>
        </xdr:nvSpPr>
        <xdr:spPr>
          <a:xfrm>
            <a:off x="2180" y="2881"/>
            <a:ext cx="3919" cy="6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>
                <a:solidFill>
                  <a:schemeClr val="bg1">
                    <a:lumMod val="85000"/>
                  </a:schemeClr>
                </a:solidFill>
                <a:latin typeface="Arial" panose="020B0604020202090204" pitchFamily="7" charset="0"/>
                <a:cs typeface="Arial" panose="020B0604020202090204" pitchFamily="7" charset="0"/>
              </a:rPr>
              <a:t>   Revenue by Region &amp; Product Line</a:t>
            </a:r>
            <a:endParaRPr lang="en-US" sz="1100">
              <a:solidFill>
                <a:schemeClr val="bg1">
                  <a:lumMod val="85000"/>
                </a:schemeClr>
              </a:solidFill>
              <a:latin typeface="Arial" panose="020B0604020202090204" pitchFamily="7" charset="0"/>
              <a:cs typeface="Arial" panose="020B0604020202090204" pitchFamily="7" charset="0"/>
            </a:endParaRPr>
          </a:p>
        </xdr:txBody>
      </xdr:sp>
      <xdr:sp>
        <xdr:nvSpPr>
          <xdr:cNvPr id="56" name="Oval 55"/>
          <xdr:cNvSpPr/>
        </xdr:nvSpPr>
        <xdr:spPr>
          <a:xfrm>
            <a:off x="2147" y="3098"/>
            <a:ext cx="198" cy="150"/>
          </a:xfrm>
          <a:prstGeom prst="ellipse">
            <a:avLst/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730885</xdr:colOff>
      <xdr:row>31</xdr:row>
      <xdr:rowOff>0</xdr:rowOff>
    </xdr:from>
    <xdr:to>
      <xdr:col>5</xdr:col>
      <xdr:colOff>721995</xdr:colOff>
      <xdr:row>32</xdr:row>
      <xdr:rowOff>181610</xdr:rowOff>
    </xdr:to>
    <xdr:sp>
      <xdr:nvSpPr>
        <xdr:cNvPr id="58" name="Text Box 57"/>
        <xdr:cNvSpPr txBox="1"/>
      </xdr:nvSpPr>
      <xdr:spPr>
        <a:xfrm>
          <a:off x="2493645" y="6614160"/>
          <a:ext cx="2485390" cy="3949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>
            <a:solidFill>
              <a:schemeClr val="bg1">
                <a:lumMod val="85000"/>
              </a:schemeClr>
            </a:solidFill>
            <a:latin typeface="Arial" panose="020B0604020202090204" pitchFamily="7" charset="0"/>
            <a:cs typeface="Arial" panose="020B0604020202090204" pitchFamily="7" charset="0"/>
          </a:endParaRPr>
        </a:p>
      </xdr:txBody>
    </xdr:sp>
    <xdr:clientData/>
  </xdr:twoCellAnchor>
  <xdr:twoCellAnchor>
    <xdr:from>
      <xdr:col>8</xdr:col>
      <xdr:colOff>85725</xdr:colOff>
      <xdr:row>8</xdr:row>
      <xdr:rowOff>72390</xdr:rowOff>
    </xdr:from>
    <xdr:to>
      <xdr:col>11</xdr:col>
      <xdr:colOff>398145</xdr:colOff>
      <xdr:row>10</xdr:row>
      <xdr:rowOff>40005</xdr:rowOff>
    </xdr:to>
    <xdr:grpSp>
      <xdr:nvGrpSpPr>
        <xdr:cNvPr id="59" name="Group 58"/>
        <xdr:cNvGrpSpPr/>
      </xdr:nvGrpSpPr>
      <xdr:grpSpPr>
        <a:xfrm>
          <a:off x="6537325" y="1779270"/>
          <a:ext cx="2506980" cy="394335"/>
          <a:chOff x="2147" y="2881"/>
          <a:chExt cx="3937" cy="602"/>
        </a:xfrm>
      </xdr:grpSpPr>
      <xdr:sp>
        <xdr:nvSpPr>
          <xdr:cNvPr id="60" name="Text Box 59"/>
          <xdr:cNvSpPr txBox="1"/>
        </xdr:nvSpPr>
        <xdr:spPr>
          <a:xfrm>
            <a:off x="2180" y="2881"/>
            <a:ext cx="3904" cy="6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100">
                <a:solidFill>
                  <a:schemeClr val="bg1">
                    <a:lumMod val="85000"/>
                  </a:schemeClr>
                </a:solidFill>
                <a:latin typeface="Arial" panose="020B0604020202090204" pitchFamily="7" charset="0"/>
                <a:cs typeface="Arial" panose="020B0604020202090204" pitchFamily="7" charset="0"/>
              </a:rPr>
              <a:t>Monthly Revenue &amp; Profit Trend</a:t>
            </a:r>
            <a:endParaRPr lang="en-US" sz="1100">
              <a:solidFill>
                <a:schemeClr val="bg1">
                  <a:lumMod val="85000"/>
                </a:schemeClr>
              </a:solidFill>
              <a:latin typeface="Arial" panose="020B0604020202090204" pitchFamily="7" charset="0"/>
              <a:cs typeface="Arial" panose="020B0604020202090204" pitchFamily="7" charset="0"/>
            </a:endParaRPr>
          </a:p>
        </xdr:txBody>
      </xdr:sp>
      <xdr:sp>
        <xdr:nvSpPr>
          <xdr:cNvPr id="61" name="Oval 60"/>
          <xdr:cNvSpPr/>
        </xdr:nvSpPr>
        <xdr:spPr>
          <a:xfrm>
            <a:off x="2147" y="3098"/>
            <a:ext cx="198" cy="150"/>
          </a:xfrm>
          <a:prstGeom prst="ellipse">
            <a:avLst/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554990</xdr:colOff>
      <xdr:row>22</xdr:row>
      <xdr:rowOff>95885</xdr:rowOff>
    </xdr:from>
    <xdr:to>
      <xdr:col>7</xdr:col>
      <xdr:colOff>421005</xdr:colOff>
      <xdr:row>36</xdr:row>
      <xdr:rowOff>24130</xdr:rowOff>
    </xdr:to>
    <xdr:grpSp>
      <xdr:nvGrpSpPr>
        <xdr:cNvPr id="64" name="Group 63"/>
        <xdr:cNvGrpSpPr/>
      </xdr:nvGrpSpPr>
      <xdr:grpSpPr>
        <a:xfrm>
          <a:off x="1586230" y="4789805"/>
          <a:ext cx="4554855" cy="2915285"/>
          <a:chOff x="1998" y="3135"/>
          <a:chExt cx="7164" cy="4460"/>
        </a:xfrm>
      </xdr:grpSpPr>
      <xdr:sp>
        <xdr:nvSpPr>
          <xdr:cNvPr id="65" name="Rounded Rectangle 64"/>
          <xdr:cNvSpPr/>
        </xdr:nvSpPr>
        <xdr:spPr>
          <a:xfrm>
            <a:off x="2032" y="3135"/>
            <a:ext cx="7131" cy="4424"/>
          </a:xfrm>
          <a:prstGeom prst="roundRect">
            <a:avLst>
              <a:gd name="adj" fmla="val 4970"/>
            </a:avLst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66" name="Rounded Rectangle 65"/>
          <xdr:cNvSpPr/>
        </xdr:nvSpPr>
        <xdr:spPr>
          <a:xfrm>
            <a:off x="1998" y="3171"/>
            <a:ext cx="7131" cy="4424"/>
          </a:xfrm>
          <a:prstGeom prst="roundRect">
            <a:avLst>
              <a:gd name="adj" fmla="val 4970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12</xdr:col>
      <xdr:colOff>664210</xdr:colOff>
      <xdr:row>8</xdr:row>
      <xdr:rowOff>211455</xdr:rowOff>
    </xdr:from>
    <xdr:to>
      <xdr:col>14</xdr:col>
      <xdr:colOff>101600</xdr:colOff>
      <xdr:row>13</xdr:row>
      <xdr:rowOff>93345</xdr:rowOff>
    </xdr:to>
    <xdr:pic>
      <xdr:nvPicPr>
        <xdr:cNvPr id="68" name="Picture 67" descr="icons8-month-10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041890" y="1918335"/>
          <a:ext cx="900430" cy="948690"/>
        </a:xfrm>
        <a:prstGeom prst="rect">
          <a:avLst/>
        </a:prstGeom>
        <a:effectLst>
          <a:glow rad="101600">
            <a:schemeClr val="accent1">
              <a:satMod val="175000"/>
              <a:alpha val="40000"/>
            </a:schemeClr>
          </a:glow>
        </a:effectLst>
      </xdr:spPr>
    </xdr:pic>
    <xdr:clientData/>
  </xdr:twoCellAnchor>
  <xdr:twoCellAnchor>
    <xdr:from>
      <xdr:col>1</xdr:col>
      <xdr:colOff>596900</xdr:colOff>
      <xdr:row>22</xdr:row>
      <xdr:rowOff>170180</xdr:rowOff>
    </xdr:from>
    <xdr:to>
      <xdr:col>4</xdr:col>
      <xdr:colOff>609600</xdr:colOff>
      <xdr:row>24</xdr:row>
      <xdr:rowOff>137795</xdr:rowOff>
    </xdr:to>
    <xdr:grpSp>
      <xdr:nvGrpSpPr>
        <xdr:cNvPr id="69" name="Group 68"/>
        <xdr:cNvGrpSpPr/>
      </xdr:nvGrpSpPr>
      <xdr:grpSpPr>
        <a:xfrm>
          <a:off x="1628140" y="4864100"/>
          <a:ext cx="2506980" cy="394335"/>
          <a:chOff x="2147" y="2881"/>
          <a:chExt cx="3937" cy="602"/>
        </a:xfrm>
      </xdr:grpSpPr>
      <xdr:sp>
        <xdr:nvSpPr>
          <xdr:cNvPr id="70" name="Text Box 69"/>
          <xdr:cNvSpPr txBox="1"/>
        </xdr:nvSpPr>
        <xdr:spPr>
          <a:xfrm>
            <a:off x="2180" y="2881"/>
            <a:ext cx="3904" cy="6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100">
                <a:solidFill>
                  <a:schemeClr val="bg1">
                    <a:lumMod val="85000"/>
                  </a:schemeClr>
                </a:solidFill>
                <a:latin typeface="Arial" panose="020B0604020202090204" pitchFamily="7" charset="0"/>
                <a:cs typeface="Arial" panose="020B0604020202090204" pitchFamily="7" charset="0"/>
              </a:rPr>
              <a:t>    Product Line Profitability</a:t>
            </a:r>
            <a:endParaRPr lang="en-US" sz="1100">
              <a:solidFill>
                <a:schemeClr val="bg1">
                  <a:lumMod val="85000"/>
                </a:schemeClr>
              </a:solidFill>
              <a:latin typeface="Arial" panose="020B0604020202090204" pitchFamily="7" charset="0"/>
              <a:cs typeface="Arial" panose="020B0604020202090204" pitchFamily="7" charset="0"/>
            </a:endParaRPr>
          </a:p>
        </xdr:txBody>
      </xdr:sp>
      <xdr:sp>
        <xdr:nvSpPr>
          <xdr:cNvPr id="71" name="Oval 70"/>
          <xdr:cNvSpPr/>
        </xdr:nvSpPr>
        <xdr:spPr>
          <a:xfrm>
            <a:off x="2147" y="3098"/>
            <a:ext cx="198" cy="150"/>
          </a:xfrm>
          <a:prstGeom prst="ellipse">
            <a:avLst/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554990</xdr:colOff>
      <xdr:row>24</xdr:row>
      <xdr:rowOff>138430</xdr:rowOff>
    </xdr:from>
    <xdr:to>
      <xdr:col>6</xdr:col>
      <xdr:colOff>127635</xdr:colOff>
      <xdr:row>35</xdr:row>
      <xdr:rowOff>203835</xdr:rowOff>
    </xdr:to>
    <xdr:graphicFrame>
      <xdr:nvGraphicFramePr>
        <xdr:cNvPr id="72" name="Chart 71"/>
        <xdr:cNvGraphicFramePr/>
      </xdr:nvGraphicFramePr>
      <xdr:xfrm>
        <a:off x="1586230" y="5259070"/>
        <a:ext cx="3529965" cy="2412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32385</xdr:colOff>
      <xdr:row>22</xdr:row>
      <xdr:rowOff>86360</xdr:rowOff>
    </xdr:from>
    <xdr:to>
      <xdr:col>14</xdr:col>
      <xdr:colOff>196215</xdr:colOff>
      <xdr:row>36</xdr:row>
      <xdr:rowOff>2540</xdr:rowOff>
    </xdr:to>
    <xdr:grpSp>
      <xdr:nvGrpSpPr>
        <xdr:cNvPr id="77" name="Group 76"/>
        <xdr:cNvGrpSpPr/>
      </xdr:nvGrpSpPr>
      <xdr:grpSpPr>
        <a:xfrm>
          <a:off x="6483985" y="4780280"/>
          <a:ext cx="4552950" cy="2903220"/>
          <a:chOff x="1998" y="3135"/>
          <a:chExt cx="7165" cy="4424"/>
        </a:xfrm>
      </xdr:grpSpPr>
      <xdr:sp>
        <xdr:nvSpPr>
          <xdr:cNvPr id="78" name="Rounded Rectangle 77"/>
          <xdr:cNvSpPr/>
        </xdr:nvSpPr>
        <xdr:spPr>
          <a:xfrm>
            <a:off x="2032" y="3135"/>
            <a:ext cx="7131" cy="4424"/>
          </a:xfrm>
          <a:prstGeom prst="roundRect">
            <a:avLst>
              <a:gd name="adj" fmla="val 4970"/>
            </a:avLst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79" name="Rounded Rectangle 78"/>
          <xdr:cNvSpPr/>
        </xdr:nvSpPr>
        <xdr:spPr>
          <a:xfrm>
            <a:off x="1998" y="3171"/>
            <a:ext cx="7164" cy="4371"/>
          </a:xfrm>
          <a:prstGeom prst="roundRect">
            <a:avLst>
              <a:gd name="adj" fmla="val 4970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106680</xdr:colOff>
      <xdr:row>22</xdr:row>
      <xdr:rowOff>128905</xdr:rowOff>
    </xdr:from>
    <xdr:to>
      <xdr:col>11</xdr:col>
      <xdr:colOff>419100</xdr:colOff>
      <xdr:row>24</xdr:row>
      <xdr:rowOff>96520</xdr:rowOff>
    </xdr:to>
    <xdr:grpSp>
      <xdr:nvGrpSpPr>
        <xdr:cNvPr id="81" name="Group 80"/>
        <xdr:cNvGrpSpPr/>
      </xdr:nvGrpSpPr>
      <xdr:grpSpPr>
        <a:xfrm>
          <a:off x="6558280" y="4822825"/>
          <a:ext cx="2506980" cy="394335"/>
          <a:chOff x="2147" y="2881"/>
          <a:chExt cx="3937" cy="602"/>
        </a:xfrm>
      </xdr:grpSpPr>
      <xdr:sp>
        <xdr:nvSpPr>
          <xdr:cNvPr id="82" name="Text Box 81"/>
          <xdr:cNvSpPr txBox="1"/>
        </xdr:nvSpPr>
        <xdr:spPr>
          <a:xfrm>
            <a:off x="2180" y="2881"/>
            <a:ext cx="3904" cy="6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100">
                <a:solidFill>
                  <a:schemeClr val="bg1">
                    <a:lumMod val="85000"/>
                  </a:schemeClr>
                </a:solidFill>
                <a:latin typeface="Arial" panose="020B0604020202090204" pitchFamily="7" charset="0"/>
                <a:cs typeface="Arial" panose="020B0604020202090204" pitchFamily="7" charset="0"/>
              </a:rPr>
              <a:t>    Detailed Sales Performance</a:t>
            </a:r>
            <a:endParaRPr lang="en-US" sz="1100">
              <a:solidFill>
                <a:schemeClr val="bg1">
                  <a:lumMod val="85000"/>
                </a:schemeClr>
              </a:solidFill>
              <a:latin typeface="Arial" panose="020B0604020202090204" pitchFamily="7" charset="0"/>
              <a:cs typeface="Arial" panose="020B0604020202090204" pitchFamily="7" charset="0"/>
            </a:endParaRPr>
          </a:p>
        </xdr:txBody>
      </xdr:sp>
      <xdr:sp>
        <xdr:nvSpPr>
          <xdr:cNvPr id="83" name="Oval 82"/>
          <xdr:cNvSpPr/>
        </xdr:nvSpPr>
        <xdr:spPr>
          <a:xfrm>
            <a:off x="2147" y="3098"/>
            <a:ext cx="198" cy="150"/>
          </a:xfrm>
          <a:prstGeom prst="ellipse">
            <a:avLst/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63500</xdr:colOff>
      <xdr:row>23</xdr:row>
      <xdr:rowOff>201295</xdr:rowOff>
    </xdr:from>
    <xdr:to>
      <xdr:col>13</xdr:col>
      <xdr:colOff>407670</xdr:colOff>
      <xdr:row>35</xdr:row>
      <xdr:rowOff>80645</xdr:rowOff>
    </xdr:to>
    <xdr:graphicFrame>
      <xdr:nvGraphicFramePr>
        <xdr:cNvPr id="84" name="Chart 83"/>
        <xdr:cNvGraphicFramePr/>
      </xdr:nvGraphicFramePr>
      <xdr:xfrm>
        <a:off x="6515100" y="5108575"/>
        <a:ext cx="4001770" cy="2439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694690</xdr:colOff>
      <xdr:row>23</xdr:row>
      <xdr:rowOff>145415</xdr:rowOff>
    </xdr:from>
    <xdr:to>
      <xdr:col>14</xdr:col>
      <xdr:colOff>71755</xdr:colOff>
      <xdr:row>27</xdr:row>
      <xdr:rowOff>196850</xdr:rowOff>
    </xdr:to>
    <xdr:pic>
      <xdr:nvPicPr>
        <xdr:cNvPr id="85" name="Picture 84" descr="icons8-all-5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072370" y="5052695"/>
          <a:ext cx="840105" cy="904875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</a:effectLst>
      </xdr:spPr>
    </xdr:pic>
    <xdr:clientData/>
  </xdr:twoCellAnchor>
  <xdr:twoCellAnchor editAs="oneCell">
    <xdr:from>
      <xdr:col>6</xdr:col>
      <xdr:colOff>76200</xdr:colOff>
      <xdr:row>24</xdr:row>
      <xdr:rowOff>33655</xdr:rowOff>
    </xdr:from>
    <xdr:to>
      <xdr:col>7</xdr:col>
      <xdr:colOff>202565</xdr:colOff>
      <xdr:row>28</xdr:row>
      <xdr:rowOff>102235</xdr:rowOff>
    </xdr:to>
    <xdr:pic>
      <xdr:nvPicPr>
        <xdr:cNvPr id="86" name="Picture 85" descr="icons8-product-50 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064760" y="5154295"/>
          <a:ext cx="857885" cy="922020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</a:effectLst>
      </xdr:spPr>
    </xdr:pic>
    <xdr:clientData/>
  </xdr:twoCellAnchor>
  <xdr:twoCellAnchor>
    <xdr:from>
      <xdr:col>14</xdr:col>
      <xdr:colOff>290195</xdr:colOff>
      <xdr:row>2</xdr:row>
      <xdr:rowOff>116840</xdr:rowOff>
    </xdr:from>
    <xdr:to>
      <xdr:col>19</xdr:col>
      <xdr:colOff>41275</xdr:colOff>
      <xdr:row>35</xdr:row>
      <xdr:rowOff>210185</xdr:rowOff>
    </xdr:to>
    <xdr:grpSp>
      <xdr:nvGrpSpPr>
        <xdr:cNvPr id="87" name="Group 86"/>
        <xdr:cNvGrpSpPr/>
      </xdr:nvGrpSpPr>
      <xdr:grpSpPr>
        <a:xfrm>
          <a:off x="11130915" y="543560"/>
          <a:ext cx="3408680" cy="7134225"/>
          <a:chOff x="1998" y="3135"/>
          <a:chExt cx="7165" cy="4424"/>
        </a:xfrm>
      </xdr:grpSpPr>
      <xdr:sp>
        <xdr:nvSpPr>
          <xdr:cNvPr id="88" name="Rounded Rectangle 87"/>
          <xdr:cNvSpPr/>
        </xdr:nvSpPr>
        <xdr:spPr>
          <a:xfrm>
            <a:off x="2032" y="3135"/>
            <a:ext cx="7131" cy="4424"/>
          </a:xfrm>
          <a:prstGeom prst="roundRect">
            <a:avLst>
              <a:gd name="adj" fmla="val 4970"/>
            </a:avLst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89" name="Rounded Rectangle 88"/>
          <xdr:cNvSpPr/>
        </xdr:nvSpPr>
        <xdr:spPr>
          <a:xfrm>
            <a:off x="1998" y="3171"/>
            <a:ext cx="7164" cy="4371"/>
          </a:xfrm>
          <a:prstGeom prst="roundRect">
            <a:avLst>
              <a:gd name="adj" fmla="val 4970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</xdr:grpSp>
    <xdr:clientData/>
  </xdr:twoCellAnchor>
  <xdr:twoCellAnchor>
    <xdr:from>
      <xdr:col>14</xdr:col>
      <xdr:colOff>438150</xdr:colOff>
      <xdr:row>7</xdr:row>
      <xdr:rowOff>111760</xdr:rowOff>
    </xdr:from>
    <xdr:to>
      <xdr:col>17</xdr:col>
      <xdr:colOff>243205</xdr:colOff>
      <xdr:row>14</xdr:row>
      <xdr:rowOff>15875</xdr:rowOff>
    </xdr:to>
    <xdr:graphicFrame>
      <xdr:nvGraphicFramePr>
        <xdr:cNvPr id="90" name="Chart 89"/>
        <xdr:cNvGraphicFramePr/>
      </xdr:nvGraphicFramePr>
      <xdr:xfrm>
        <a:off x="11278870" y="1605280"/>
        <a:ext cx="1999615" cy="1397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57150</xdr:colOff>
      <xdr:row>7</xdr:row>
      <xdr:rowOff>105410</xdr:rowOff>
    </xdr:from>
    <xdr:to>
      <xdr:col>19</xdr:col>
      <xdr:colOff>593725</xdr:colOff>
      <xdr:row>14</xdr:row>
      <xdr:rowOff>9525</xdr:rowOff>
    </xdr:to>
    <xdr:graphicFrame>
      <xdr:nvGraphicFramePr>
        <xdr:cNvPr id="91" name="Chart 90"/>
        <xdr:cNvGraphicFramePr/>
      </xdr:nvGraphicFramePr>
      <xdr:xfrm>
        <a:off x="13092430" y="1598930"/>
        <a:ext cx="1999615" cy="1397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258445</xdr:colOff>
      <xdr:row>16</xdr:row>
      <xdr:rowOff>144780</xdr:rowOff>
    </xdr:from>
    <xdr:to>
      <xdr:col>18</xdr:col>
      <xdr:colOff>63500</xdr:colOff>
      <xdr:row>23</xdr:row>
      <xdr:rowOff>49530</xdr:rowOff>
    </xdr:to>
    <xdr:graphicFrame>
      <xdr:nvGraphicFramePr>
        <xdr:cNvPr id="92" name="Chart 91"/>
        <xdr:cNvGraphicFramePr/>
      </xdr:nvGraphicFramePr>
      <xdr:xfrm>
        <a:off x="11830685" y="3558540"/>
        <a:ext cx="1999615" cy="1398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436245</xdr:colOff>
      <xdr:row>10</xdr:row>
      <xdr:rowOff>43815</xdr:rowOff>
    </xdr:from>
    <xdr:to>
      <xdr:col>18</xdr:col>
      <xdr:colOff>530860</xdr:colOff>
      <xdr:row>11</xdr:row>
      <xdr:rowOff>170180</xdr:rowOff>
    </xdr:to>
    <xdr:sp>
      <xdr:nvSpPr>
        <xdr:cNvPr id="94" name="Text Box 93"/>
        <xdr:cNvSpPr txBox="1"/>
      </xdr:nvSpPr>
      <xdr:spPr>
        <a:xfrm>
          <a:off x="13471525" y="2177415"/>
          <a:ext cx="826135" cy="339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200">
              <a:solidFill>
                <a:schemeClr val="bg2">
                  <a:lumMod val="75000"/>
                </a:schemeClr>
              </a:solidFill>
            </a:rPr>
            <a:t>30.69%</a:t>
          </a:r>
          <a:endParaRPr lang="en-US" sz="12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15</xdr:col>
      <xdr:colOff>53975</xdr:colOff>
      <xdr:row>10</xdr:row>
      <xdr:rowOff>38100</xdr:rowOff>
    </xdr:from>
    <xdr:to>
      <xdr:col>16</xdr:col>
      <xdr:colOff>96520</xdr:colOff>
      <xdr:row>11</xdr:row>
      <xdr:rowOff>59055</xdr:rowOff>
    </xdr:to>
    <xdr:sp>
      <xdr:nvSpPr>
        <xdr:cNvPr id="95" name="Text Box 94"/>
        <xdr:cNvSpPr txBox="1"/>
      </xdr:nvSpPr>
      <xdr:spPr>
        <a:xfrm>
          <a:off x="11626215" y="2171700"/>
          <a:ext cx="774065" cy="234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200">
              <a:solidFill>
                <a:schemeClr val="bg2">
                  <a:lumMod val="75000"/>
                </a:schemeClr>
              </a:solidFill>
            </a:rPr>
            <a:t>26.68%</a:t>
          </a:r>
          <a:endParaRPr lang="en-US" sz="12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16</xdr:col>
      <xdr:colOff>192405</xdr:colOff>
      <xdr:row>19</xdr:row>
      <xdr:rowOff>40640</xdr:rowOff>
    </xdr:from>
    <xdr:to>
      <xdr:col>17</xdr:col>
      <xdr:colOff>425450</xdr:colOff>
      <xdr:row>20</xdr:row>
      <xdr:rowOff>95250</xdr:rowOff>
    </xdr:to>
    <xdr:sp>
      <xdr:nvSpPr>
        <xdr:cNvPr id="96" name="Text Box 95"/>
        <xdr:cNvSpPr txBox="1"/>
      </xdr:nvSpPr>
      <xdr:spPr>
        <a:xfrm>
          <a:off x="12496165" y="4094480"/>
          <a:ext cx="964565" cy="2679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400">
              <a:solidFill>
                <a:schemeClr val="bg2">
                  <a:lumMod val="75000"/>
                </a:schemeClr>
              </a:solidFill>
            </a:rPr>
            <a:t>15.42%</a:t>
          </a:r>
          <a:endParaRPr lang="en-US" sz="14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14</xdr:col>
      <xdr:colOff>425450</xdr:colOff>
      <xdr:row>2</xdr:row>
      <xdr:rowOff>200660</xdr:rowOff>
    </xdr:from>
    <xdr:to>
      <xdr:col>16</xdr:col>
      <xdr:colOff>552450</xdr:colOff>
      <xdr:row>7</xdr:row>
      <xdr:rowOff>179705</xdr:rowOff>
    </xdr:to>
    <xdr:sp>
      <xdr:nvSpPr>
        <xdr:cNvPr id="97" name="Text Box 96"/>
        <xdr:cNvSpPr txBox="1"/>
      </xdr:nvSpPr>
      <xdr:spPr>
        <a:xfrm>
          <a:off x="11266170" y="627380"/>
          <a:ext cx="1590040" cy="1045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100">
              <a:solidFill>
                <a:schemeClr val="tx2">
                  <a:lumMod val="40000"/>
                  <a:lumOff val="60000"/>
                </a:schemeClr>
              </a:solidFill>
            </a:rPr>
            <a:t>Regional Insight</a:t>
          </a:r>
          <a:endParaRPr lang="en-US" sz="1100">
            <a:solidFill>
              <a:schemeClr val="tx2">
                <a:lumMod val="40000"/>
                <a:lumOff val="60000"/>
              </a:schemeClr>
            </a:solidFill>
          </a:endParaRPr>
        </a:p>
        <a:p>
          <a:pPr algn="l"/>
          <a:r>
            <a:rPr lang="en-US" sz="1000">
              <a:solidFill>
                <a:schemeClr val="bg2">
                  <a:lumMod val="75000"/>
                </a:schemeClr>
              </a:solidFill>
            </a:rPr>
            <a:t>The North region leads in sales, accounting for 26.28% of total sales.</a:t>
          </a:r>
          <a:endParaRPr lang="en-US" sz="10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16</xdr:col>
      <xdr:colOff>626110</xdr:colOff>
      <xdr:row>2</xdr:row>
      <xdr:rowOff>200660</xdr:rowOff>
    </xdr:from>
    <xdr:to>
      <xdr:col>19</xdr:col>
      <xdr:colOff>21590</xdr:colOff>
      <xdr:row>7</xdr:row>
      <xdr:rowOff>179705</xdr:rowOff>
    </xdr:to>
    <xdr:sp>
      <xdr:nvSpPr>
        <xdr:cNvPr id="98" name="Text Box 97"/>
        <xdr:cNvSpPr txBox="1"/>
      </xdr:nvSpPr>
      <xdr:spPr>
        <a:xfrm>
          <a:off x="12929870" y="627380"/>
          <a:ext cx="1590040" cy="1045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chemeClr val="tx2">
                  <a:lumMod val="40000"/>
                  <a:lumOff val="60000"/>
                </a:schemeClr>
              </a:solidFill>
            </a:rPr>
            <a:t>Product Line Insight</a:t>
          </a:r>
          <a:endParaRPr lang="en-US" sz="1100">
            <a:solidFill>
              <a:schemeClr val="tx2">
                <a:lumMod val="40000"/>
                <a:lumOff val="60000"/>
              </a:schemeClr>
            </a:solidFill>
          </a:endParaRPr>
        </a:p>
        <a:p>
          <a:pPr algn="l"/>
          <a:r>
            <a:rPr lang="en-US" sz="1000">
              <a:solidFill>
                <a:schemeClr val="bg2">
                  <a:lumMod val="75000"/>
                </a:schemeClr>
              </a:solidFill>
            </a:rPr>
            <a:t>Tools is the best-performing product line, contributing 30.69% of the total revenue.</a:t>
          </a:r>
          <a:endParaRPr lang="en-US" sz="10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15</xdr:col>
      <xdr:colOff>219710</xdr:colOff>
      <xdr:row>23</xdr:row>
      <xdr:rowOff>111125</xdr:rowOff>
    </xdr:from>
    <xdr:to>
      <xdr:col>18</xdr:col>
      <xdr:colOff>281940</xdr:colOff>
      <xdr:row>28</xdr:row>
      <xdr:rowOff>92075</xdr:rowOff>
    </xdr:to>
    <xdr:sp>
      <xdr:nvSpPr>
        <xdr:cNvPr id="99" name="Text Box 98"/>
        <xdr:cNvSpPr txBox="1"/>
      </xdr:nvSpPr>
      <xdr:spPr>
        <a:xfrm>
          <a:off x="11791950" y="5018405"/>
          <a:ext cx="2256790" cy="1047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000">
              <a:solidFill>
                <a:schemeClr val="tx2">
                  <a:lumMod val="40000"/>
                  <a:lumOff val="60000"/>
                </a:schemeClr>
              </a:solidFill>
            </a:rPr>
            <a:t>                 Monthly Insight</a:t>
          </a:r>
          <a:endParaRPr lang="en-US" sz="1000">
            <a:solidFill>
              <a:schemeClr val="tx2">
                <a:lumMod val="40000"/>
                <a:lumOff val="60000"/>
              </a:schemeClr>
            </a:solidFill>
          </a:endParaRPr>
        </a:p>
        <a:p>
          <a:pPr algn="l"/>
          <a:r>
            <a:rPr lang="en-US" sz="1000">
              <a:solidFill>
                <a:schemeClr val="bg2">
                  <a:lumMod val="75000"/>
                </a:schemeClr>
              </a:solidFill>
            </a:rPr>
            <a:t>August recorded the highest gross profit  among all months.</a:t>
          </a:r>
          <a:endParaRPr lang="en-US" sz="10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14</xdr:col>
      <xdr:colOff>287655</xdr:colOff>
      <xdr:row>27</xdr:row>
      <xdr:rowOff>12700</xdr:rowOff>
    </xdr:from>
    <xdr:to>
      <xdr:col>19</xdr:col>
      <xdr:colOff>33655</xdr:colOff>
      <xdr:row>27</xdr:row>
      <xdr:rowOff>118745</xdr:rowOff>
    </xdr:to>
    <xdr:sp>
      <xdr:nvSpPr>
        <xdr:cNvPr id="100" name="Rectangles 99"/>
        <xdr:cNvSpPr/>
      </xdr:nvSpPr>
      <xdr:spPr>
        <a:xfrm>
          <a:off x="11128375" y="5773420"/>
          <a:ext cx="3403600" cy="106045"/>
        </a:xfrm>
        <a:prstGeom prst="rect">
          <a:avLst/>
        </a:prstGeom>
        <a:gradFill>
          <a:gsLst>
            <a:gs pos="100000">
              <a:schemeClr val="tx1"/>
            </a:gs>
            <a:gs pos="22000">
              <a:srgbClr val="2A2A2A"/>
            </a:gs>
            <a:gs pos="46000">
              <a:srgbClr val="6E7780"/>
            </a:gs>
            <a:gs pos="10000">
              <a:srgbClr val="0D0D0C"/>
            </a:gs>
            <a:gs pos="100000">
              <a:srgbClr val="929292"/>
            </a:gs>
          </a:gsLst>
          <a:lin ang="10800000" scaled="0"/>
        </a:gra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14</xdr:col>
      <xdr:colOff>419100</xdr:colOff>
      <xdr:row>29</xdr:row>
      <xdr:rowOff>81280</xdr:rowOff>
    </xdr:from>
    <xdr:to>
      <xdr:col>19</xdr:col>
      <xdr:colOff>132080</xdr:colOff>
      <xdr:row>33</xdr:row>
      <xdr:rowOff>190500</xdr:rowOff>
    </xdr:to>
    <xdr:sp>
      <xdr:nvSpPr>
        <xdr:cNvPr id="101" name="Text Box 100"/>
        <xdr:cNvSpPr txBox="1"/>
      </xdr:nvSpPr>
      <xdr:spPr>
        <a:xfrm>
          <a:off x="11259820" y="6268720"/>
          <a:ext cx="3370580" cy="962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400">
              <a:solidFill>
                <a:srgbClr val="6B58B1"/>
              </a:solidFill>
              <a:latin typeface="Arial" panose="020B0604020202090204" pitchFamily="7" charset="0"/>
              <a:cs typeface="Arial" panose="020B0604020202090204" pitchFamily="7" charset="0"/>
            </a:rPr>
            <a:t>Prepared, Designed &amp; Presented by : Prasad Bitale</a:t>
          </a:r>
          <a:endParaRPr lang="en-US" sz="1400">
            <a:solidFill>
              <a:srgbClr val="6B58B1"/>
            </a:solidFill>
            <a:latin typeface="Arial" panose="020B0604020202090204" pitchFamily="7" charset="0"/>
            <a:cs typeface="Arial" panose="020B0604020202090204" pitchFamily="7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6.4864467593" refreshedBy="prasad" recordCount="203">
  <cacheSource type="worksheet">
    <worksheetSource ref="A1:N204" sheet="Data_Cleaned"/>
  </cacheSource>
  <cacheFields count="14">
    <cacheField name="date_iso" numFmtId="177">
      <sharedItems containsSemiMixedTypes="0" containsString="0" containsNonDate="0" containsDate="1" minDate="2024-01-01T00:00:00" maxDate="2024-12-04T00:00:00" count="203">
        <d v="2024-11-23T00:00:00"/>
        <d v="2024-11-28T00:00:00"/>
        <d v="2024-07-02T00:00:00"/>
        <d v="2024-01-24T00:00:00"/>
        <d v="2024-02-06T00:00:00"/>
        <d v="2024-04-18T00:00:00"/>
        <d v="2024-07-23T00:00:00"/>
        <d v="2024-09-27T00:00:00"/>
        <d v="2024-05-14T00:00:00"/>
        <d v="2024-09-07T00:00:00"/>
        <d v="2024-10-08T00:00:00"/>
        <d v="2024-04-25T00:00:00"/>
        <d v="2024-03-08T00:00:00"/>
        <d v="2024-11-30T00:00:00"/>
        <d v="2024-07-18T00:00:00"/>
        <d v="2024-01-26T00:00:00"/>
        <d v="2024-10-31T00:00:00"/>
        <d v="2024-01-05T00:00:00"/>
        <d v="2024-11-09T00:00:00"/>
        <d v="2024-04-17T00:00:00"/>
        <d v="2024-03-23T00:00:00"/>
        <d v="2024-01-21T00:00:00"/>
        <d v="2024-07-30T00:00:00"/>
        <d v="2024-08-23T00:00:00"/>
        <d v="2024-10-01T00:00:00"/>
        <d v="2024-07-16T00:00:00"/>
        <d v="2024-06-02T00:00:00"/>
        <d v="2024-01-01T00:00:00"/>
        <d v="2024-11-20T00:00:00"/>
        <d v="2024-11-18T00:00:00"/>
        <d v="2024-08-25T00:00:00"/>
        <d v="2024-03-22T00:00:00"/>
        <d v="2024-02-11T00:00:00"/>
        <d v="2024-01-11T00:00:00"/>
        <d v="2024-05-19T00:00:00"/>
        <d v="2024-03-10T00:00:00"/>
        <d v="2024-10-03T00:00:00"/>
        <d v="2024-04-21T00:00:00"/>
        <d v="2024-07-11T00:00:00"/>
        <d v="2024-06-23T00:00:00"/>
        <d v="2024-09-04T00:00:00"/>
        <d v="2024-06-15T00:00:00"/>
        <d v="2024-08-31T00:00:00"/>
        <d v="2024-06-29T00:00:00"/>
        <d v="2024-09-25T00:00:00"/>
        <d v="2024-11-22T00:00:00"/>
        <d v="2024-10-22T00:00:00"/>
        <d v="2024-10-28T00:00:00"/>
        <d v="2024-08-18T00:00:00"/>
        <d v="2024-08-05T00:00:00"/>
        <d v="2024-07-25T00:00:00"/>
        <d v="2024-07-28T00:00:00"/>
        <d v="2024-08-12T00:00:00"/>
        <d v="2024-03-19T00:00:00"/>
        <d v="2024-02-05T00:00:00"/>
        <d v="2024-07-14T00:00:00"/>
        <d v="2024-03-20T00:00:00"/>
        <d v="2024-10-04T00:00:00"/>
        <d v="2024-09-11T00:00:00"/>
        <d v="2024-07-21T00:00:00"/>
        <d v="2024-12-03T00:00:00"/>
        <d v="2024-07-06T00:00:00"/>
        <d v="2024-07-09T00:00:00"/>
        <d v="2024-06-04T00:00:00"/>
        <d v="2024-05-23T00:00:00"/>
        <d v="2024-03-03T00:00:00"/>
        <d v="2024-04-16T00:00:00"/>
        <d v="2024-08-19T00:00:00"/>
        <d v="2024-06-13T00:00:00"/>
        <d v="2024-10-09T00:00:00"/>
        <d v="2024-08-30T00:00:00"/>
        <d v="2024-08-04T00:00:00"/>
        <d v="2024-10-20T00:00:00"/>
        <d v="2024-10-16T00:00:00"/>
        <d v="2024-01-27T00:00:00"/>
        <d v="2024-10-30T00:00:00"/>
        <d v="2024-08-08T00:00:00"/>
        <d v="2024-10-21T00:00:00"/>
        <d v="2024-08-11T00:00:00"/>
        <d v="2024-11-26T00:00:00"/>
        <d v="2024-01-30T00:00:00"/>
        <d v="2024-11-05T00:00:00"/>
        <d v="2024-09-24T00:00:00"/>
        <d v="2024-12-02T00:00:00"/>
        <d v="2024-03-11T00:00:00"/>
        <d v="2024-11-15T00:00:00"/>
        <d v="2024-08-28T00:00:00"/>
        <d v="2024-11-24T00:00:00"/>
        <d v="2024-04-23T00:00:00"/>
        <d v="2024-03-17T00:00:00"/>
        <d v="2024-11-01T00:00:00"/>
        <d v="2024-09-26T00:00:00"/>
        <d v="2024-02-23T00:00:00"/>
        <d v="2024-08-22T00:00:00"/>
        <d v="2024-01-25T00:00:00"/>
        <d v="2024-05-16T00:00:00"/>
        <d v="2024-08-15T00:00:00"/>
        <d v="2024-11-07T00:00:00"/>
        <d v="2024-02-09T00:00:00"/>
        <d v="2024-08-16T00:00:00"/>
        <d v="2024-06-26T00:00:00"/>
        <d v="2024-07-03T00:00:00"/>
        <d v="2024-06-11T00:00:00"/>
        <d v="2024-03-25T00:00:00"/>
        <d v="2024-02-17T00:00:00"/>
        <d v="2024-05-15T00:00:00"/>
        <d v="2024-01-31T00:00:00"/>
        <d v="2024-08-26T00:00:00"/>
        <d v="2024-09-20T00:00:00"/>
        <d v="2024-09-16T00:00:00"/>
        <d v="2024-02-26T00:00:00"/>
        <d v="2024-09-01T00:00:00"/>
        <d v="2024-05-22T00:00:00"/>
        <d v="2024-10-05T00:00:00"/>
        <d v="2024-10-02T00:00:00"/>
        <d v="2024-08-29T00:00:00"/>
        <d v="2024-11-29T00:00:00"/>
        <d v="2024-02-27T00:00:00"/>
        <d v="2024-08-06T00:00:00"/>
        <d v="2024-05-31T00:00:00"/>
        <d v="2024-04-15T00:00:00"/>
        <d v="2024-01-02T00:00:00"/>
        <d v="2024-04-06T00:00:00"/>
        <d v="2024-08-01T00:00:00"/>
        <d v="2024-05-04T00:00:00"/>
        <d v="2024-06-17T00:00:00"/>
        <d v="2024-03-27T00:00:00"/>
        <d v="2024-05-26T00:00:00"/>
        <d v="2024-07-22T00:00:00"/>
        <d v="2024-02-08T00:00:00"/>
        <d v="2024-10-15T00:00:00"/>
        <d v="2024-05-06T00:00:00"/>
        <d v="2024-02-14T00:00:00"/>
        <d v="2024-10-13T00:00:00"/>
        <d v="2024-06-20T00:00:00"/>
        <d v="2024-02-07T00:00:00"/>
        <d v="2024-02-25T00:00:00"/>
        <d v="2024-09-22T00:00:00"/>
        <d v="2024-03-13T00:00:00"/>
        <d v="2024-06-24T00:00:00"/>
        <d v="2024-01-15T00:00:00"/>
        <d v="2024-06-01T00:00:00"/>
        <d v="2024-09-06T00:00:00"/>
        <d v="2024-07-15T00:00:00"/>
        <d v="2024-05-27T00:00:00"/>
        <d v="2024-10-06T00:00:00"/>
        <d v="2024-05-29T00:00:00"/>
        <d v="2024-07-07T00:00:00"/>
        <d v="2024-08-07T00:00:00"/>
        <d v="2024-03-09T00:00:00"/>
        <d v="2024-02-21T00:00:00"/>
        <d v="2024-01-14T00:00:00"/>
        <d v="2024-01-08T00:00:00"/>
        <d v="2024-09-18T00:00:00"/>
        <d v="2024-08-20T00:00:00"/>
        <d v="2024-05-17T00:00:00"/>
        <d v="2024-03-26T00:00:00"/>
        <d v="2024-01-19T00:00:00"/>
        <d v="2024-09-21T00:00:00"/>
        <d v="2024-09-23T00:00:00"/>
        <d v="2024-07-20T00:00:00"/>
        <d v="2024-03-16T00:00:00"/>
        <d v="2024-08-24T00:00:00"/>
        <d v="2024-11-10T00:00:00"/>
        <d v="2024-10-17T00:00:00"/>
        <d v="2024-08-10T00:00:00"/>
        <d v="2024-02-19T00:00:00"/>
        <d v="2024-01-22T00:00:00"/>
        <d v="2024-05-21T00:00:00"/>
        <d v="2024-05-01T00:00:00"/>
        <d v="2024-08-14T00:00:00"/>
        <d v="2024-05-20T00:00:00"/>
        <d v="2024-05-12T00:00:00"/>
        <d v="2024-06-30T00:00:00"/>
        <d v="2024-04-09T00:00:00"/>
        <d v="2024-04-02T00:00:00"/>
        <d v="2024-03-07T00:00:00"/>
        <d v="2024-08-21T00:00:00"/>
        <d v="2024-04-26T00:00:00"/>
        <d v="2024-12-04T00:00:00"/>
        <d v="2024-04-13T00:00:00"/>
        <d v="2024-02-16T00:00:00"/>
        <d v="2024-06-22T00:00:00"/>
        <d v="2024-01-06T00:00:00"/>
        <d v="2024-11-03T00:00:00"/>
        <d v="2024-09-17T00:00:00"/>
        <d v="2024-05-07T00:00:00"/>
        <d v="2024-11-13T00:00:00"/>
        <d v="2024-07-31T00:00:00"/>
        <d v="2024-05-24T00:00:00"/>
        <d v="2024-06-10T00:00:00"/>
        <d v="2024-11-27T00:00:00"/>
        <d v="2024-03-12T00:00:00"/>
        <d v="2024-04-29T00:00:00"/>
        <d v="2024-06-18T00:00:00"/>
        <d v="2024-09-03T00:00:00"/>
        <d v="2024-04-27T00:00:00"/>
        <d v="2024-09-14T00:00:00"/>
        <d v="2024-05-09T00:00:00"/>
        <d v="2024-06-06T00:00:00"/>
        <d v="2024-01-20T00:00:00"/>
        <d v="2024-11-02T00:00:00"/>
        <d v="2024-03-30T00:00:00"/>
      </sharedItems>
    </cacheField>
    <cacheField name="Date" numFmtId="176">
      <sharedItems containsSemiMixedTypes="0" containsString="0" containsNonDate="0" containsDate="1" minDate="2024-01-01T00:00:00" maxDate="2024-12-04T00:00:00" count="203">
        <d v="2024-11-23T00:00:00"/>
        <d v="2024-11-28T00:00:00"/>
        <d v="2024-07-02T00:00:00"/>
        <d v="2024-01-24T00:00:00"/>
        <d v="2024-02-06T00:00:00"/>
        <d v="2024-04-18T00:00:00"/>
        <d v="2024-07-23T00:00:00"/>
        <d v="2024-09-27T00:00:00"/>
        <d v="2024-05-14T00:00:00"/>
        <d v="2024-09-07T00:00:00"/>
        <d v="2024-10-08T00:00:00"/>
        <d v="2024-04-25T00:00:00"/>
        <d v="2024-03-08T00:00:00"/>
        <d v="2024-11-30T00:00:00"/>
        <d v="2024-07-18T00:00:00"/>
        <d v="2024-01-26T00:00:00"/>
        <d v="2024-10-31T00:00:00"/>
        <d v="2024-01-05T00:00:00"/>
        <d v="2024-11-09T00:00:00"/>
        <d v="2024-04-17T00:00:00"/>
        <d v="2024-03-23T00:00:00"/>
        <d v="2024-01-21T00:00:00"/>
        <d v="2024-07-30T00:00:00"/>
        <d v="2024-08-23T00:00:00"/>
        <d v="2024-10-01T00:00:00"/>
        <d v="2024-07-16T00:00:00"/>
        <d v="2024-06-02T00:00:00"/>
        <d v="2024-01-01T00:00:00"/>
        <d v="2024-11-20T00:00:00"/>
        <d v="2024-11-18T00:00:00"/>
        <d v="2024-08-25T00:00:00"/>
        <d v="2024-03-22T00:00:00"/>
        <d v="2024-02-11T00:00:00"/>
        <d v="2024-01-11T00:00:00"/>
        <d v="2024-05-19T00:00:00"/>
        <d v="2024-03-10T00:00:00"/>
        <d v="2024-10-03T00:00:00"/>
        <d v="2024-04-21T00:00:00"/>
        <d v="2024-07-11T00:00:00"/>
        <d v="2024-06-23T00:00:00"/>
        <d v="2024-09-04T00:00:00"/>
        <d v="2024-06-15T00:00:00"/>
        <d v="2024-08-31T00:00:00"/>
        <d v="2024-06-29T00:00:00"/>
        <d v="2024-09-25T00:00:00"/>
        <d v="2024-11-22T00:00:00"/>
        <d v="2024-10-22T00:00:00"/>
        <d v="2024-10-28T00:00:00"/>
        <d v="2024-08-18T00:00:00"/>
        <d v="2024-08-05T00:00:00"/>
        <d v="2024-07-25T00:00:00"/>
        <d v="2024-07-28T00:00:00"/>
        <d v="2024-08-12T00:00:00"/>
        <d v="2024-03-19T00:00:00"/>
        <d v="2024-02-05T00:00:00"/>
        <d v="2024-07-14T00:00:00"/>
        <d v="2024-03-20T00:00:00"/>
        <d v="2024-10-04T00:00:00"/>
        <d v="2024-09-11T00:00:00"/>
        <d v="2024-07-21T00:00:00"/>
        <d v="2024-12-03T00:00:00"/>
        <d v="2024-07-06T00:00:00"/>
        <d v="2024-07-09T00:00:00"/>
        <d v="2024-06-04T00:00:00"/>
        <d v="2024-05-23T00:00:00"/>
        <d v="2024-03-03T00:00:00"/>
        <d v="2024-04-16T00:00:00"/>
        <d v="2024-08-19T00:00:00"/>
        <d v="2024-06-13T00:00:00"/>
        <d v="2024-10-09T00:00:00"/>
        <d v="2024-08-30T00:00:00"/>
        <d v="2024-08-04T00:00:00"/>
        <d v="2024-10-20T00:00:00"/>
        <d v="2024-10-16T00:00:00"/>
        <d v="2024-01-27T00:00:00"/>
        <d v="2024-10-30T00:00:00"/>
        <d v="2024-08-08T00:00:00"/>
        <d v="2024-10-21T00:00:00"/>
        <d v="2024-08-11T00:00:00"/>
        <d v="2024-11-26T00:00:00"/>
        <d v="2024-01-30T00:00:00"/>
        <d v="2024-11-05T00:00:00"/>
        <d v="2024-09-24T00:00:00"/>
        <d v="2024-12-02T00:00:00"/>
        <d v="2024-03-11T00:00:00"/>
        <d v="2024-11-15T00:00:00"/>
        <d v="2024-08-28T00:00:00"/>
        <d v="2024-11-24T00:00:00"/>
        <d v="2024-04-23T00:00:00"/>
        <d v="2024-03-17T00:00:00"/>
        <d v="2024-11-01T00:00:00"/>
        <d v="2024-09-26T00:00:00"/>
        <d v="2024-02-23T00:00:00"/>
        <d v="2024-08-22T00:00:00"/>
        <d v="2024-01-25T00:00:00"/>
        <d v="2024-05-16T00:00:00"/>
        <d v="2024-08-15T00:00:00"/>
        <d v="2024-11-07T00:00:00"/>
        <d v="2024-02-09T00:00:00"/>
        <d v="2024-08-16T00:00:00"/>
        <d v="2024-06-26T00:00:00"/>
        <d v="2024-07-03T00:00:00"/>
        <d v="2024-06-11T00:00:00"/>
        <d v="2024-03-25T00:00:00"/>
        <d v="2024-02-17T00:00:00"/>
        <d v="2024-05-15T00:00:00"/>
        <d v="2024-01-31T00:00:00"/>
        <d v="2024-08-26T00:00:00"/>
        <d v="2024-09-20T00:00:00"/>
        <d v="2024-09-16T00:00:00"/>
        <d v="2024-02-26T00:00:00"/>
        <d v="2024-09-01T00:00:00"/>
        <d v="2024-05-22T00:00:00"/>
        <d v="2024-10-05T00:00:00"/>
        <d v="2024-10-02T00:00:00"/>
        <d v="2024-08-29T00:00:00"/>
        <d v="2024-11-29T00:00:00"/>
        <d v="2024-02-27T00:00:00"/>
        <d v="2024-08-06T00:00:00"/>
        <d v="2024-05-31T00:00:00"/>
        <d v="2024-04-15T00:00:00"/>
        <d v="2024-01-02T00:00:00"/>
        <d v="2024-04-06T00:00:00"/>
        <d v="2024-08-01T00:00:00"/>
        <d v="2024-05-04T00:00:00"/>
        <d v="2024-06-17T00:00:00"/>
        <d v="2024-03-27T00:00:00"/>
        <d v="2024-05-26T00:00:00"/>
        <d v="2024-07-22T00:00:00"/>
        <d v="2024-02-08T00:00:00"/>
        <d v="2024-10-15T00:00:00"/>
        <d v="2024-05-06T00:00:00"/>
        <d v="2024-02-14T00:00:00"/>
        <d v="2024-10-13T00:00:00"/>
        <d v="2024-06-20T00:00:00"/>
        <d v="2024-02-07T00:00:00"/>
        <d v="2024-02-25T00:00:00"/>
        <d v="2024-09-22T00:00:00"/>
        <d v="2024-03-13T00:00:00"/>
        <d v="2024-06-24T00:00:00"/>
        <d v="2024-01-15T00:00:00"/>
        <d v="2024-06-01T00:00:00"/>
        <d v="2024-09-06T00:00:00"/>
        <d v="2024-07-15T00:00:00"/>
        <d v="2024-05-27T00:00:00"/>
        <d v="2024-10-06T00:00:00"/>
        <d v="2024-05-29T00:00:00"/>
        <d v="2024-07-07T00:00:00"/>
        <d v="2024-08-07T00:00:00"/>
        <d v="2024-03-09T00:00:00"/>
        <d v="2024-02-21T00:00:00"/>
        <d v="2024-01-14T00:00:00"/>
        <d v="2024-01-08T00:00:00"/>
        <d v="2024-09-18T00:00:00"/>
        <d v="2024-08-20T00:00:00"/>
        <d v="2024-05-17T00:00:00"/>
        <d v="2024-03-26T00:00:00"/>
        <d v="2024-01-19T00:00:00"/>
        <d v="2024-09-21T00:00:00"/>
        <d v="2024-09-23T00:00:00"/>
        <d v="2024-07-20T00:00:00"/>
        <d v="2024-03-16T00:00:00"/>
        <d v="2024-08-24T00:00:00"/>
        <d v="2024-11-10T00:00:00"/>
        <d v="2024-10-17T00:00:00"/>
        <d v="2024-08-10T00:00:00"/>
        <d v="2024-02-19T00:00:00"/>
        <d v="2024-01-22T00:00:00"/>
        <d v="2024-05-21T00:00:00"/>
        <d v="2024-05-01T00:00:00"/>
        <d v="2024-08-14T00:00:00"/>
        <d v="2024-05-20T00:00:00"/>
        <d v="2024-05-12T00:00:00"/>
        <d v="2024-06-30T00:00:00"/>
        <d v="2024-04-09T00:00:00"/>
        <d v="2024-04-02T00:00:00"/>
        <d v="2024-03-07T00:00:00"/>
        <d v="2024-08-21T00:00:00"/>
        <d v="2024-04-26T00:00:00"/>
        <d v="2024-12-04T00:00:00"/>
        <d v="2024-04-13T00:00:00"/>
        <d v="2024-02-16T00:00:00"/>
        <d v="2024-06-22T00:00:00"/>
        <d v="2024-01-06T00:00:00"/>
        <d v="2024-11-03T00:00:00"/>
        <d v="2024-09-17T00:00:00"/>
        <d v="2024-05-07T00:00:00"/>
        <d v="2024-11-13T00:00:00"/>
        <d v="2024-07-31T00:00:00"/>
        <d v="2024-05-24T00:00:00"/>
        <d v="2024-06-10T00:00:00"/>
        <d v="2024-11-27T00:00:00"/>
        <d v="2024-03-12T00:00:00"/>
        <d v="2024-04-29T00:00:00"/>
        <d v="2024-06-18T00:00:00"/>
        <d v="2024-09-03T00:00:00"/>
        <d v="2024-04-27T00:00:00"/>
        <d v="2024-09-14T00:00:00"/>
        <d v="2024-05-09T00:00:00"/>
        <d v="2024-06-06T00:00:00"/>
        <d v="2024-01-20T00:00:00"/>
        <d v="2024-11-02T00:00:00"/>
        <d v="2024-03-30T00:00:00"/>
      </sharedItems>
    </cacheField>
    <cacheField name="OrderID" numFmtId="0">
      <sharedItems containsSemiMixedTypes="0" containsString="0" containsNumber="1" containsInteger="1" minValue="0" maxValue="1201" count="201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</sharedItems>
    </cacheField>
    <cacheField name="ProductID" numFmtId="0">
      <sharedItems count="30">
        <s v="P008"/>
        <s v="P015"/>
        <s v="P026"/>
        <s v="P003"/>
        <s v="P024"/>
        <s v="P023"/>
        <s v="P005"/>
        <s v="P001"/>
        <s v="P017"/>
        <s v="P029"/>
        <s v="P020"/>
        <s v="P018"/>
        <s v="P019"/>
        <s v="P013"/>
        <s v="P028"/>
        <s v="P022"/>
        <s v="P004"/>
        <s v="P021"/>
        <s v="P014"/>
        <s v="P011"/>
        <s v="P002"/>
        <s v="P025"/>
        <s v="P009"/>
        <s v="P012"/>
        <s v="P016"/>
        <s v="P027"/>
        <s v="P010"/>
        <s v="P030"/>
        <s v="P006"/>
        <s v="P007"/>
      </sharedItems>
    </cacheField>
    <cacheField name="ProductLine" numFmtId="0">
      <sharedItems count="4">
        <s v="Gadgets"/>
        <s v="Tools"/>
        <s v="Widgets"/>
        <s v="Accessories"/>
      </sharedItems>
    </cacheField>
    <cacheField name="Region" numFmtId="0">
      <sharedItems count="4">
        <s v="North"/>
        <s v="South"/>
        <s v="West"/>
        <s v="East"/>
      </sharedItems>
    </cacheField>
    <cacheField name="UnitsSold" numFmtId="0">
      <sharedItems containsSemiMixedTypes="0" containsString="0" containsNumber="1" containsInteger="1" minValue="0" maxValue="25" count="26">
        <n v="1"/>
        <n v="10"/>
        <n v="9"/>
        <n v="11"/>
        <n v="24"/>
        <n v="4"/>
        <n v="5"/>
        <n v="15"/>
        <n v="12"/>
        <n v="3"/>
        <n v="14"/>
        <n v="2"/>
        <n v="13"/>
        <n v="23"/>
        <n v="25"/>
        <n v="19"/>
        <n v="8"/>
        <n v="17"/>
        <n v="6"/>
        <n v="18"/>
        <n v="16"/>
        <n v="7"/>
        <n v="21"/>
        <n v="20"/>
        <n v="22"/>
        <n v="0"/>
      </sharedItems>
    </cacheField>
    <cacheField name="UnitPrice" numFmtId="0">
      <sharedItems containsSemiMixedTypes="0" containsString="0" containsNumber="1" minValue="0" maxValue="119.69" count="198">
        <n v="15.22"/>
        <n v="42.01"/>
        <n v="101.58"/>
        <n v="29.57"/>
        <n v="95.81"/>
        <n v="38.64"/>
        <n v="97.54"/>
        <n v="24.05"/>
        <n v="29.45"/>
        <n v="100.13"/>
        <n v="119.48"/>
        <n v="104.84"/>
        <n v="83.17"/>
        <n v="27.14"/>
        <n v="63.99"/>
        <n v="35.51"/>
        <n v="84.92"/>
        <n v="26.13"/>
        <n v="106.96"/>
        <n v="40.56"/>
        <n v="101.57"/>
        <n v="74.91"/>
        <n v="28.69"/>
        <n v="87.74"/>
        <n v="116.42"/>
        <n v="58.93"/>
        <n v="114.48"/>
        <n v="85.15"/>
        <n v="109.33"/>
        <n v="38.44"/>
        <n v="107.63"/>
        <n v="78.17"/>
        <n v="59.51"/>
        <n v="56.9"/>
        <n v="70.13"/>
        <n v="14.91"/>
        <n v="42.05"/>
        <n v="102.64"/>
        <n v="116.19"/>
        <n v="96.52"/>
        <n v="31.02"/>
        <n v="38.34"/>
        <n v="114.39"/>
        <n v="51.85"/>
        <n v="86.54"/>
        <n v="25.67"/>
        <n v="39.27"/>
        <n v="78.79"/>
        <n v="83.33"/>
        <n v="111.78"/>
        <n v="92.89"/>
        <n v="39.04"/>
        <n v="119.67"/>
        <n v="99.87"/>
        <n v="79.54"/>
        <n v="36.27"/>
        <n v="27.62"/>
        <n v="102.45"/>
        <n v="73.75"/>
        <n v="22.77"/>
        <n v="104.81"/>
        <n v="80.44"/>
        <n v="31.45"/>
        <n v="71.03"/>
        <n v="50.77"/>
        <n v="77.56"/>
        <n v="110.24"/>
        <n v="92.63"/>
        <n v="51.81"/>
        <n v="110.21"/>
        <n v="70.8"/>
        <n v="38.31"/>
        <n v="118.65"/>
        <n v="24.27"/>
        <n v="58.04"/>
        <n v="58.46"/>
        <n v="45.76"/>
        <n v="115.32"/>
        <n v="36.22"/>
        <n v="87.89"/>
        <n v="29"/>
        <n v="41.5"/>
        <n v="94.87"/>
        <n v="16.57"/>
        <n v="61.69"/>
        <n v="24.31"/>
        <n v="79.82"/>
        <n v="41.66"/>
        <n v="91.8"/>
        <n v="66.49"/>
        <n v="48.14"/>
        <n v="87.44"/>
        <n v="31.47"/>
        <n v="78.75"/>
        <n v="42.77"/>
        <n v="116.36"/>
        <n v="29.31"/>
        <n v="52.49"/>
        <n v="60.45"/>
        <n v="57.34"/>
        <n v="73.63"/>
        <n v="92.71"/>
        <n v="62.18"/>
        <n v="63.13"/>
        <n v="48.62"/>
        <n v="47.42"/>
        <n v="55.87"/>
        <n v="15.5"/>
        <n v="65.9"/>
        <n v="60.07"/>
        <n v="89.64"/>
        <n v="58.72"/>
        <n v="33.2"/>
        <n v="16.45"/>
        <n v="64.16"/>
        <n v="117.34"/>
        <n v="99.86"/>
        <n v="75"/>
        <n v="16.89"/>
        <n v="72.25"/>
        <n v="46.4"/>
        <n v="75.04"/>
        <n v="78.93"/>
        <n v="90.56"/>
        <n v="85.52"/>
        <n v="72.53"/>
        <n v="20.54"/>
        <n v="109.76"/>
        <n v="93.64"/>
        <n v="119.69"/>
        <n v="68.63"/>
        <n v="84.84"/>
        <n v="40.16"/>
        <n v="66.27"/>
        <n v="110.58"/>
        <n v="33.83"/>
        <n v="72.35"/>
        <n v="118.5"/>
        <n v="116.13"/>
        <n v="57.81"/>
        <n v="22.9"/>
        <n v="37.29"/>
        <n v="72.03"/>
        <n v="44.48"/>
        <n v="69.85"/>
        <n v="34.88"/>
        <n v="50.8"/>
        <n v="116.38"/>
        <n v="17.24"/>
        <n v="12.71"/>
        <n v="28.08"/>
        <n v="94.04"/>
        <n v="36.81"/>
        <n v="27.57"/>
        <n v="17.8"/>
        <n v="58.64"/>
        <n v="21.88"/>
        <n v="47.04"/>
        <n v="27.76"/>
        <n v="114.47"/>
        <n v="116.17"/>
        <n v="31.43"/>
        <n v="80.4"/>
        <n v="116.59"/>
        <n v="116.3"/>
        <n v="64.14"/>
        <n v="60.86"/>
        <n v="37.04"/>
        <n v="99.34"/>
        <n v="24.34"/>
        <n v="27.27"/>
        <n v="78.9"/>
        <n v="73.06"/>
        <n v="100.91"/>
        <n v="59.42"/>
        <n v="18.41"/>
        <n v="105.64"/>
        <n v="80.43"/>
        <n v="80.56"/>
        <n v="94.32"/>
        <n v="22.08"/>
        <n v="20.42"/>
        <n v="23.15"/>
        <n v="92.81"/>
        <n v="21.1"/>
        <n v="96.65"/>
        <n v="30.66"/>
        <n v="20.9"/>
        <n v="90.84"/>
        <n v="68.48"/>
        <n v="79.77"/>
        <n v="38.41"/>
        <n v="73.73"/>
        <n v="61.33"/>
        <n v="14.58"/>
        <n v="117.04"/>
        <n v="18.73"/>
        <n v="75.15"/>
      </sharedItems>
    </cacheField>
    <cacheField name="UnitCost" numFmtId="0">
      <sharedItems containsSemiMixedTypes="0" containsString="0" containsNumber="1" minValue="0" maxValue="79.75" count="199">
        <n v="8.03"/>
        <n v="27.04"/>
        <n v="69.86"/>
        <n v="17.79"/>
        <n v="30.13"/>
        <n v="16.16"/>
        <n v="32.05"/>
        <n v="12.13"/>
        <n v="21.06"/>
        <n v="54.04"/>
        <n v="59.4"/>
        <n v="42.68"/>
        <n v="40.34"/>
        <n v="13.79"/>
        <n v="45.18"/>
        <n v="22.41"/>
        <n v="30.06"/>
        <n v="13.22"/>
        <n v="39.68"/>
        <n v="25.72"/>
        <n v="45.72"/>
        <n v="26.77"/>
        <n v="19.77"/>
        <n v="27.85"/>
        <n v="68.53"/>
        <n v="26"/>
        <n v="66.45"/>
        <n v="49.13"/>
        <n v="41.15"/>
        <n v="26.23"/>
        <n v="42.89"/>
        <n v="41.21"/>
        <n v="24.13"/>
        <n v="27.83"/>
        <n v="46.28"/>
        <n v="8.26"/>
        <n v="20.59"/>
        <n v="41.81"/>
        <n v="36.2"/>
        <n v="47.56"/>
        <n v="18.39"/>
        <n v="22.03"/>
        <n v="71.38"/>
        <n v="23.58"/>
        <n v="54.73"/>
        <n v="8.33"/>
        <n v="13.8"/>
        <n v="37.12"/>
        <n v="31.52"/>
        <n v="64.98"/>
        <n v="39.93"/>
        <n v="28.61"/>
        <n v="79.75"/>
        <n v="50.4"/>
        <n v="31.15"/>
        <n v="12.73"/>
        <n v="15.74"/>
        <n v="61.16"/>
        <n v="47.86"/>
        <n v="6.99"/>
        <n v="46.38"/>
        <n v="40.19"/>
        <n v="18.06"/>
        <n v="51.52"/>
        <n v="31.21"/>
        <n v="45.49"/>
        <n v="53.68"/>
        <n v="32.59"/>
        <n v="21.66"/>
        <n v="53.31"/>
        <n v="9.89"/>
        <n v="32.67"/>
        <n v="21.23"/>
        <n v="78.23"/>
        <n v="12.18"/>
        <n v="36.02"/>
        <n v="20.55"/>
        <n v="18.98"/>
        <n v="69.37"/>
        <n v="24.64"/>
        <n v="39.81"/>
        <n v="12.93"/>
        <n v="14.58"/>
        <n v="40.82"/>
        <n v="8"/>
        <n v="28.55"/>
        <n v="17.2"/>
        <n v="44.19"/>
        <n v="22.01"/>
        <n v="65.09"/>
        <n v="27.36"/>
        <n v="26.53"/>
        <n v="49.65"/>
        <n v="22.86"/>
        <n v="29.09"/>
        <n v="21.47"/>
        <n v="76.86"/>
        <n v="15.56"/>
        <n v="40"/>
        <n v="50"/>
        <n v="29"/>
        <n v="44.23"/>
        <n v="30.63"/>
        <n v="36.33"/>
        <n v="54"/>
        <n v="29.73"/>
        <n v="23.74"/>
        <n v="35.61"/>
        <n v="7.79"/>
        <n v="36.43"/>
        <n v="36.45"/>
        <n v="23.78"/>
        <n v="57.92"/>
        <n v="19.08"/>
        <n v="14.06"/>
        <n v="5.54"/>
        <n v="39.03"/>
        <n v="54.77"/>
        <n v="62.36"/>
        <n v="32"/>
        <n v="9.34"/>
        <n v="26.37"/>
        <n v="26.79"/>
        <n v="47"/>
        <n v="28.93"/>
        <n v="48.31"/>
        <n v="35.83"/>
        <n v="45.31"/>
        <n v="12.23"/>
        <n v="44.43"/>
        <n v="40.12"/>
        <n v="62.59"/>
        <n v="24.73"/>
        <n v="48.78"/>
        <n v="25.67"/>
        <n v="40.86"/>
        <n v="73.08"/>
        <n v="12.65"/>
        <n v="31.74"/>
        <n v="50.86"/>
        <n v="41.79"/>
        <n v="23.32"/>
        <n v="15"/>
        <n v="20.85"/>
        <n v="32.77"/>
        <n v="29.47"/>
        <n v="22.57"/>
        <n v="22.1"/>
        <n v="26.96"/>
        <n v="22.51"/>
        <n v="60.61"/>
        <n v="10"/>
        <n v="3.88"/>
        <n v="15.08"/>
        <n v="44.26"/>
        <n v="18.46"/>
        <n v="12.06"/>
        <n v="35.03"/>
        <n v="10.94"/>
        <n v="20.29"/>
        <n v="11.78"/>
        <n v="66.29"/>
        <n v="50.09"/>
        <n v="9.81"/>
        <n v="47.95"/>
        <n v="77.59"/>
        <n v="35.44"/>
        <n v="45.81"/>
        <n v="19.48"/>
        <n v="14.19"/>
        <n v="34.35"/>
        <n v="12.32"/>
        <n v="15.5"/>
        <n v="57.47"/>
        <n v="29.17"/>
        <n v="67.63"/>
        <n v="38.57"/>
        <n v="7.85"/>
        <n v="72.86"/>
        <n v="27.5"/>
        <n v="54.99"/>
        <n v="54.87"/>
        <n v="7.44"/>
        <n v="10.9"/>
        <n v="10.06"/>
        <n v="53.57"/>
        <n v="12.03"/>
        <n v="39.4"/>
        <n v="22.82"/>
        <n v="29.62"/>
        <n v="42.76"/>
        <n v="42.27"/>
        <n v="18.14"/>
        <n v="44.46"/>
        <n v="26.45"/>
        <n v="8.55"/>
        <n v="49.85"/>
        <n v="6.72"/>
        <n v="28.1"/>
      </sharedItems>
    </cacheField>
    <cacheField name="MarketingSpend" numFmtId="0">
      <sharedItems containsSemiMixedTypes="0" containsString="0" containsNumber="1" minValue="0" maxValue="199.33" count="200">
        <n v="5.31"/>
        <n v="20.44"/>
        <n v="115.47"/>
        <n v="140.36"/>
        <n v="63.09"/>
        <n v="116.92"/>
        <n v="76.32"/>
        <n v="190.76"/>
        <n v="183.7"/>
        <n v="25.15"/>
        <n v="103.52"/>
        <n v="133.8"/>
        <n v="172.77"/>
        <n v="174.9"/>
        <n v="32.93"/>
        <n v="12.19"/>
        <n v="178.06"/>
        <n v="185.8"/>
        <n v="166.75"/>
        <n v="31.09"/>
        <n v="26.16"/>
        <n v="61.65"/>
        <n v="195.24"/>
        <n v="94.14"/>
        <n v="79.94"/>
        <n v="121.24"/>
        <n v="132.68"/>
        <n v="60.19"/>
        <n v="16.96"/>
        <n v="14.57"/>
        <n v="160.82"/>
        <n v="166.11"/>
        <n v="67.17"/>
        <n v="180.97"/>
        <n v="179.56"/>
        <n v="5.42"/>
        <n v="166.98"/>
        <n v="94.71"/>
        <n v="62.39"/>
        <n v="74.11"/>
        <n v="123.18"/>
        <n v="75.8"/>
        <n v="97.72"/>
        <n v="199.33"/>
        <n v="55.3"/>
        <n v="58.43"/>
        <n v="13.07"/>
        <n v="181.7"/>
        <n v="15.01"/>
        <n v="132.24"/>
        <n v="24.87"/>
        <n v="167.19"/>
        <n v="193.81"/>
        <n v="62.9"/>
        <n v="109.84"/>
        <n v="189.41"/>
        <n v="149.26"/>
        <n v="173.05"/>
        <n v="8.73"/>
        <n v="28.83"/>
        <n v="143.74"/>
        <n v="138.8"/>
        <n v="76.51"/>
        <n v="197.53"/>
        <n v="4.39"/>
        <n v="124.18"/>
        <n v="40.16"/>
        <n v="192.58"/>
        <n v="76.21"/>
        <n v="27.96"/>
        <n v="97.87"/>
        <n v="79.63"/>
        <n v="13.72"/>
        <n v="21.99"/>
        <n v="72.41"/>
        <n v="88.71"/>
        <n v="130.94"/>
        <n v="190.72"/>
        <n v="82.16"/>
        <n v="73.51"/>
        <n v="1.22"/>
        <n v="188.28"/>
        <n v="85.98"/>
        <n v="24"/>
        <n v="184.23"/>
        <n v="87.34"/>
        <n v="69.88"/>
        <n v="115.89"/>
        <n v="62.08"/>
        <n v="114.33"/>
        <n v="87.55"/>
        <n v="77.31"/>
        <n v="187.6"/>
        <n v="97.25"/>
        <n v="36.17"/>
        <n v="106.8"/>
        <n v="27.68"/>
        <n v="166.21"/>
        <n v="186.17"/>
        <n v="15.85"/>
        <n v="22.17"/>
        <n v="104.7"/>
        <n v="48.23"/>
        <n v="162.3"/>
        <n v="129.38"/>
        <n v="73.47"/>
        <n v="143.53"/>
        <n v="32"/>
        <n v="74.19"/>
        <n v="52.36"/>
        <n v="169.1"/>
        <n v="47.35"/>
        <n v="164.67"/>
        <n v="24.83"/>
        <n v="125"/>
        <n v="189.71"/>
        <n v="59.49"/>
        <n v="112.33"/>
        <n v="37.97"/>
        <n v="119.5"/>
        <n v="72.5"/>
        <n v="120.49"/>
        <n v="168.52"/>
        <n v="137.61"/>
        <n v="136.15"/>
        <n v="112.18"/>
        <n v="96.84"/>
        <n v="57.56"/>
        <n v="149.47"/>
        <n v="20.04"/>
        <n v="11.83"/>
        <n v="187.32"/>
        <n v="100.84"/>
        <n v="127.75"/>
        <n v="190.81"/>
        <n v="62.2"/>
        <n v="165.12"/>
        <n v="170.9"/>
        <n v="4.35"/>
        <n v="36"/>
        <n v="172.06"/>
        <n v="92.13"/>
        <n v="119.56"/>
        <n v="115.49"/>
        <n v="128.66"/>
        <n v="182.95"/>
        <n v="75.43"/>
        <n v="149.38"/>
        <n v="99.46"/>
        <n v="83.52"/>
        <n v="33.65"/>
        <n v="27.5"/>
        <n v="105.88"/>
        <n v="163.04"/>
        <n v="110.54"/>
        <n v="113.36"/>
        <n v="185.77"/>
        <n v="68.12"/>
        <n v="17.14"/>
        <n v="152.27"/>
        <n v="77.56"/>
        <n v="59.95"/>
        <n v="138.99"/>
        <n v="145.44"/>
        <n v="143.05"/>
        <n v="118.76"/>
        <n v="51.75"/>
        <n v="17.17"/>
        <n v="142.16"/>
        <n v="128.1"/>
        <n v="174.4"/>
        <n v="34.51"/>
        <n v="114.96"/>
        <n v="96.92"/>
        <n v="6.54"/>
        <n v="8.32"/>
        <n v="47.39"/>
        <n v="107.75"/>
        <n v="49.94"/>
        <n v="103.12"/>
        <n v="159.14"/>
        <n v="167.34"/>
        <n v="132.9"/>
        <n v="89.01"/>
        <n v="76.54"/>
        <n v="88.48"/>
        <n v="121.52"/>
        <n v="77.18"/>
        <n v="14.6"/>
        <n v="55.49"/>
        <n v="17.24"/>
        <n v="33.39"/>
        <n v="11.09"/>
        <n v="30.02"/>
        <n v="10.53"/>
        <n v="156.9"/>
        <n v="138.69"/>
        <n v="8.78"/>
        <n v="58.34"/>
        <n v="93.21"/>
      </sharedItems>
    </cacheField>
    <cacheField name="Revenue" numFmtId="0">
      <sharedItems containsSemiMixedTypes="0" containsString="0" containsNumber="1" minValue="0" maxValue="2914.75" count="194">
        <n v="15.22"/>
        <n v="420.1"/>
        <n v="914.22"/>
        <n v="325.27"/>
        <n v="2299.44"/>
        <n v="154.56"/>
        <n v="487.7"/>
        <n v="240.5"/>
        <n v="706.8"/>
        <n v="1501.95"/>
        <n v="1433.76"/>
        <n v="104.84"/>
        <n v="249.51"/>
        <n v="379.96"/>
        <n v="959.85"/>
        <n v="319.59"/>
        <n v="169.84"/>
        <n v="313.56"/>
        <n v="213.92"/>
        <n v="162.24"/>
        <n v="1320.41"/>
        <n v="824.01"/>
        <n v="659.87"/>
        <n v="2193.5"/>
        <n v="232.84"/>
        <n v="1119.67"/>
        <n v="228.96"/>
        <n v="1021.8"/>
        <n v="2733.25"/>
        <n v="38.44"/>
        <n v="2583.12"/>
        <n v="1094.38"/>
        <n v="476.08"/>
        <n v="796.6"/>
        <n v="911.69"/>
        <n v="253.47"/>
        <n v="504.6"/>
        <n v="615.84"/>
        <n v="580.95"/>
        <n v="1737.36"/>
        <n v="403.26"/>
        <n v="536.76"/>
        <n v="1830.24"/>
        <n v="933.3"/>
        <n v="2076.96"/>
        <n v="436.39"/>
        <n v="39.27"/>
        <n v="1969.75"/>
        <n v="666.64"/>
        <n v="782.46"/>
        <n v="1764.91"/>
        <n v="741.76"/>
        <n v="598.35"/>
        <n v="1198.44"/>
        <n v="1193.1"/>
        <n v="72.54"/>
        <n v="469.54"/>
        <n v="922.05"/>
        <n v="516.25"/>
        <n v="318.78"/>
        <n v="2201.01"/>
        <n v="1930.56"/>
        <n v="786.25"/>
        <n v="1491.63"/>
        <n v="913.86"/>
        <n v="542.92"/>
        <n v="220.48"/>
        <n v="833.67"/>
        <n v="725.34"/>
        <n v="1542.94"/>
        <n v="778.8"/>
        <n v="383.1"/>
        <n v="474.6"/>
        <n v="388.32"/>
        <n v="696.48"/>
        <n v="1110.74"/>
        <n v="137.28"/>
        <n v="2075.76"/>
        <n v="543.3"/>
        <n v="703.12"/>
        <n v="290"/>
        <n v="539.5"/>
        <n v="569.22"/>
        <n v="381.11"/>
        <n v="1172.11"/>
        <n v="486.2"/>
        <n v="1915.68"/>
        <n v="1041.5"/>
        <n v="2295"/>
        <n v="132.98"/>
        <n v="962.8"/>
        <n v="1748.8"/>
        <n v="283.23"/>
        <n v="1890"/>
        <n v="812.63"/>
        <n v="1512.68"/>
        <n v="703.44"/>
        <n v="104.98"/>
        <n v="906.75"/>
        <n v="401.38"/>
        <n v="515.41"/>
        <n v="741.68"/>
        <n v="1305.78"/>
        <n v="1073.21"/>
        <n v="583.44"/>
        <n v="94.84"/>
        <n v="1117.4"/>
        <n v="279"/>
        <n v="329.5"/>
        <n v="1321.54"/>
        <n v="579.52"/>
        <n v="1972.08"/>
        <n v="234.88"/>
        <n v="265.6"/>
        <n v="296.1"/>
        <n v="577.44"/>
        <n v="1290.74"/>
        <n v="499.3"/>
        <n v="450"/>
        <n v="185.79"/>
        <n v="722.5"/>
        <n v="881.6"/>
        <n v="975.52"/>
        <n v="1815.39"/>
        <n v="2082.88"/>
        <n v="1966.96"/>
        <n v="797.83"/>
        <n v="451.88"/>
        <n v="2304.96"/>
        <n v="561.84"/>
        <n v="119.69"/>
        <n v="1166.71"/>
        <n v="1527.12"/>
        <n v="0"/>
        <n v="1391.67"/>
        <n v="1879.86"/>
        <n v="541.28"/>
        <n v="72.35"/>
        <n v="237"/>
        <n v="2438.73"/>
        <n v="982.77"/>
        <n v="45.8"/>
        <n v="335.61"/>
        <n v="936.39"/>
        <n v="311.36"/>
        <n v="139.7"/>
        <n v="1016"/>
        <n v="1745.7"/>
        <n v="362.04"/>
        <n v="449.28"/>
        <n v="1880.8"/>
        <n v="36.81"/>
        <n v="496.26"/>
        <n v="195.8"/>
        <n v="703.68"/>
        <n v="65.64"/>
        <n v="1176"/>
        <n v="416.4"/>
        <n v="580.85"/>
        <n v="534.31"/>
        <n v="321.6"/>
        <n v="2914.75"/>
        <n v="1163"/>
        <n v="1338.92"/>
        <n v="518.56"/>
        <n v="2185.48"/>
        <n v="438.12"/>
        <n v="599.94"/>
        <n v="1104.6"/>
        <n v="146.12"/>
        <n v="1715.47"/>
        <n v="118.84"/>
        <n v="460.25"/>
        <n v="845.12"/>
        <n v="160.86"/>
        <n v="1127.84"/>
        <n v="1980.72"/>
        <n v="176.64"/>
        <n v="306.3"/>
        <n v="69.45"/>
        <n v="1856.2"/>
        <n v="422"/>
        <n v="96.65"/>
        <n v="643.86"/>
        <n v="250.8"/>
        <n v="1180.92"/>
        <n v="753.28"/>
        <n v="1435.86"/>
        <n v="147.46"/>
        <n v="1042.61"/>
        <n v="189.54"/>
        <n v="117.04"/>
        <n v="337.14"/>
        <n v="1803.6"/>
      </sharedItems>
    </cacheField>
    <cacheField name="COGS" numFmtId="0">
      <sharedItems containsSemiMixedTypes="0" containsString="0" containsNumber="1" minValue="0" maxValue="1939.75" count="195">
        <n v="8.03"/>
        <n v="270.4"/>
        <n v="628.74"/>
        <n v="195.69"/>
        <n v="723.12"/>
        <n v="64.64"/>
        <n v="160.25"/>
        <n v="121.3"/>
        <n v="505.44"/>
        <n v="810.6"/>
        <n v="712.8"/>
        <n v="42.68"/>
        <n v="121.02"/>
        <n v="193.06"/>
        <n v="677.7"/>
        <n v="201.69"/>
        <n v="60.12"/>
        <n v="158.64"/>
        <n v="79.36"/>
        <n v="102.88"/>
        <n v="594.36"/>
        <n v="294.47"/>
        <n v="454.71"/>
        <n v="696.25"/>
        <n v="137.06"/>
        <n v="494"/>
        <n v="132.9"/>
        <n v="589.56"/>
        <n v="1028.75"/>
        <n v="26.23"/>
        <n v="1029.36"/>
        <n v="576.94"/>
        <n v="193.04"/>
        <n v="389.62"/>
        <n v="601.64"/>
        <n v="140.42"/>
        <n v="247.08"/>
        <n v="250.86"/>
        <n v="181"/>
        <n v="856.08"/>
        <n v="239.07"/>
        <n v="308.42"/>
        <n v="1142.08"/>
        <n v="424.44"/>
        <n v="1313.52"/>
        <n v="141.61"/>
        <n v="13.8"/>
        <n v="928"/>
        <n v="252.16"/>
        <n v="454.86"/>
        <n v="758.67"/>
        <n v="543.59"/>
        <n v="398.75"/>
        <n v="604.8"/>
        <n v="467.25"/>
        <n v="25.46"/>
        <n v="267.58"/>
        <n v="550.44"/>
        <n v="335.02"/>
        <n v="97.86"/>
        <n v="973.98"/>
        <n v="964.56"/>
        <n v="451.5"/>
        <n v="1081.92"/>
        <n v="561.78"/>
        <n v="318.43"/>
        <n v="107.36"/>
        <n v="293.31"/>
        <n v="303.24"/>
        <n v="746.34"/>
        <n v="227.47"/>
        <n v="359.37"/>
        <n v="212.3"/>
        <n v="312.92"/>
        <n v="194.88"/>
        <n v="432.24"/>
        <n v="390.45"/>
        <n v="56.94"/>
        <n v="1248.66"/>
        <n v="369.6"/>
        <n v="318.48"/>
        <n v="129.3"/>
        <n v="189.54"/>
        <n v="244.92"/>
        <n v="184"/>
        <n v="542.45"/>
        <n v="344"/>
        <n v="1060.56"/>
        <n v="550.25"/>
        <n v="1627.25"/>
        <n v="54.72"/>
        <n v="530.6"/>
        <n v="993"/>
        <n v="205.74"/>
        <n v="698.16"/>
        <n v="407.93"/>
        <n v="999.18"/>
        <n v="373.44"/>
        <n v="80"/>
        <n v="750"/>
        <n v="203"/>
        <n v="309.61"/>
        <n v="245.04"/>
        <n v="762.93"/>
        <n v="918"/>
        <n v="356.76"/>
        <n v="47.48"/>
        <n v="712.2"/>
        <n v="140.22"/>
        <n v="182.15"/>
        <n v="801.9"/>
        <n v="380.48"/>
        <n v="1274.24"/>
        <n v="76.32"/>
        <n v="112.48"/>
        <n v="99.72"/>
        <n v="351.27"/>
        <n v="602.47"/>
        <n v="311.8"/>
        <n v="192"/>
        <n v="102.74"/>
        <n v="263.7"/>
        <n v="509.01"/>
        <n v="611"/>
        <n v="665.39"/>
        <n v="1111.13"/>
        <n v="824.09"/>
        <n v="498.41"/>
        <n v="269.06"/>
        <n v="933.03"/>
        <n v="240.72"/>
        <n v="62.59"/>
        <n v="420.41"/>
        <n v="878.04"/>
        <n v="0"/>
        <n v="858.06"/>
        <n v="1242.36"/>
        <n v="202.4"/>
        <n v="31.74"/>
        <n v="101.72"/>
        <n v="877.59"/>
        <n v="396.44"/>
        <n v="30"/>
        <n v="187.65"/>
        <n v="426.01"/>
        <n v="206.29"/>
        <n v="45.14"/>
        <n v="539.2"/>
        <n v="909.15"/>
        <n v="210"/>
        <n v="241.28"/>
        <n v="885.2"/>
        <n v="22.51"/>
        <n v="332.28"/>
        <n v="132.66"/>
        <n v="420.36"/>
        <n v="32.82"/>
        <n v="507.25"/>
        <n v="176.7"/>
        <n v="250.45"/>
        <n v="166.77"/>
        <n v="191.8"/>
        <n v="1939.75"/>
        <n v="354.4"/>
        <n v="428.56"/>
        <n v="198.66"/>
        <n v="755.7"/>
        <n v="221.76"/>
        <n v="341"/>
        <n v="804.58"/>
        <n v="58.34"/>
        <n v="1149.71"/>
        <n v="77.14"/>
        <n v="196.25"/>
        <n v="582.88"/>
        <n v="55"/>
        <n v="769.86"/>
        <n v="1152.27"/>
        <n v="59.52"/>
        <n v="163.5"/>
        <n v="30.18"/>
        <n v="1071.4"/>
        <n v="240.6"/>
        <n v="39.4"/>
        <n v="479.22"/>
        <n v="144.72"/>
        <n v="385.06"/>
        <n v="470.36"/>
        <n v="760.86"/>
        <n v="88.92"/>
        <n v="449.65"/>
        <n v="111.15"/>
        <n v="49.85"/>
        <n v="120.96"/>
        <n v="674.4"/>
      </sharedItems>
    </cacheField>
    <cacheField name="Gross_profit" numFmtId="0">
      <sharedItems containsSemiMixedTypes="0" containsString="0" containsNumber="1" minValue="0" maxValue="1704.5" count="195">
        <n v="7.19"/>
        <n v="149.7"/>
        <n v="285.48"/>
        <n v="129.58"/>
        <n v="1576.32"/>
        <n v="89.92"/>
        <n v="327.45"/>
        <n v="119.2"/>
        <n v="201.36"/>
        <n v="691.35"/>
        <n v="720.96"/>
        <n v="62.16"/>
        <n v="128.49"/>
        <n v="186.9"/>
        <n v="282.15"/>
        <n v="117.9"/>
        <n v="109.72"/>
        <n v="154.92"/>
        <n v="134.56"/>
        <n v="59.36"/>
        <n v="726.05"/>
        <n v="529.54"/>
        <n v="205.16"/>
        <n v="1497.25"/>
        <n v="95.78"/>
        <n v="625.67"/>
        <n v="96.06"/>
        <n v="432.24"/>
        <n v="1704.5"/>
        <n v="12.21"/>
        <n v="1553.76"/>
        <n v="517.44"/>
        <n v="283.04"/>
        <n v="406.98"/>
        <n v="310.05"/>
        <n v="113.05"/>
        <n v="257.52"/>
        <n v="364.98"/>
        <n v="399.95"/>
        <n v="881.28"/>
        <n v="164.19"/>
        <n v="228.34"/>
        <n v="688.16"/>
        <n v="508.86"/>
        <n v="763.44"/>
        <n v="294.78"/>
        <n v="25.47"/>
        <n v="1041.75"/>
        <n v="414.48"/>
        <n v="327.6"/>
        <n v="1006.24"/>
        <n v="198.17"/>
        <n v="199.6"/>
        <n v="593.64"/>
        <n v="725.85"/>
        <n v="47.08"/>
        <n v="201.96"/>
        <n v="371.61"/>
        <n v="181.23"/>
        <n v="220.92"/>
        <n v="1227.03"/>
        <n v="966"/>
        <n v="334.75"/>
        <n v="409.71"/>
        <n v="352.08"/>
        <n v="224.49"/>
        <n v="113.12"/>
        <n v="540.36"/>
        <n v="422.1"/>
        <n v="796.6"/>
        <n v="432.4"/>
        <n v="419.43"/>
        <n v="170.8"/>
        <n v="161.68"/>
        <n v="193.44"/>
        <n v="264.24"/>
        <n v="720.29"/>
        <n v="80.34"/>
        <n v="827.1"/>
        <n v="173.7"/>
        <n v="384.64"/>
        <n v="160.7"/>
        <n v="349.96"/>
        <n v="324.3"/>
        <n v="197.11"/>
        <n v="629.66"/>
        <n v="142.2"/>
        <n v="855.12"/>
        <n v="491.25"/>
        <n v="667.75"/>
        <n v="78.26"/>
        <n v="432.2"/>
        <n v="755.8"/>
        <n v="77.49"/>
        <n v="1191.84"/>
        <n v="404.7"/>
        <n v="513.5"/>
        <n v="330"/>
        <n v="24.98"/>
        <n v="156.75"/>
        <n v="198.38"/>
        <n v="205.8"/>
        <n v="496.64"/>
        <n v="542.85"/>
        <n v="155.21"/>
        <n v="226.68"/>
        <n v="47.36"/>
        <n v="405.2"/>
        <n v="138.78"/>
        <n v="147.35"/>
        <n v="519.64"/>
        <n v="199.04"/>
        <n v="697.84"/>
        <n v="158.56"/>
        <n v="153.12"/>
        <n v="196.38"/>
        <n v="226.17"/>
        <n v="688.27"/>
        <n v="187.5"/>
        <n v="258"/>
        <n v="83.05"/>
        <n v="458.8"/>
        <n v="372.59"/>
        <n v="364.52"/>
        <n v="1150"/>
        <n v="971.75"/>
        <n v="1142.87"/>
        <n v="299.42"/>
        <n v="182.82"/>
        <n v="1371.93"/>
        <n v="321.12"/>
        <n v="57.1"/>
        <n v="746.3"/>
        <n v="649.08"/>
        <n v="0"/>
        <n v="533.61"/>
        <n v="637.5"/>
        <n v="338.88"/>
        <n v="40.61"/>
        <n v="135.28"/>
        <n v="1561.14"/>
        <n v="586.33"/>
        <n v="15.8"/>
        <n v="147.96"/>
        <n v="510.38"/>
        <n v="105.07"/>
        <n v="94.56"/>
        <n v="476.8"/>
        <n v="836.55"/>
        <n v="152.04"/>
        <n v="208"/>
        <n v="995.6"/>
        <n v="14.3"/>
        <n v="163.98"/>
        <n v="63.14"/>
        <n v="283.32"/>
        <n v="32.82"/>
        <n v="668.75"/>
        <n v="239.7"/>
        <n v="330.4"/>
        <n v="367.54"/>
        <n v="129.8"/>
        <n v="975"/>
        <n v="808.6"/>
        <n v="910.36"/>
        <n v="319.9"/>
        <n v="1429.78"/>
        <n v="216.36"/>
        <n v="258.94"/>
        <n v="300.02"/>
        <n v="87.78"/>
        <n v="565.76"/>
        <n v="41.7"/>
        <n v="264"/>
        <n v="262.24"/>
        <n v="105.86"/>
        <n v="357.98"/>
        <n v="828.45"/>
        <n v="117.12"/>
        <n v="142.8"/>
        <n v="39.27"/>
        <n v="784.8"/>
        <n v="181.4"/>
        <n v="57.25"/>
        <n v="164.64"/>
        <n v="106.08"/>
        <n v="795.86"/>
        <n v="282.92"/>
        <n v="675"/>
        <n v="58.54"/>
        <n v="592.96"/>
        <n v="78.39"/>
        <n v="67.19"/>
        <n v="216.18"/>
        <n v="1129.2"/>
      </sharedItems>
    </cacheField>
    <cacheField name="Margin%" numFmtId="0">
      <sharedItems containsNumber="1" containsMixedTypes="1" count="195">
        <n v="47.2404730617608"/>
        <n v="35.6343727683885"/>
        <n v="31.2266194132703"/>
        <n v="39.8376733175516"/>
        <n v="68.5523431792088"/>
        <n v="58.1780538302277"/>
        <n v="67.1416854623744"/>
        <n v="49.5634095634096"/>
        <n v="28.4889643463497"/>
        <n v="46.0301607909717"/>
        <n v="50.2845664546368"/>
        <n v="59.2903471957268"/>
        <n v="51.4969339906216"/>
        <n v="49.1893883566691"/>
        <n v="29.3952180028129"/>
        <n v="36.891016615038"/>
        <n v="64.6019783325483"/>
        <n v="49.4068120933793"/>
        <n v="62.9020194465221"/>
        <n v="36.5877712031558"/>
        <n v="54.986708673821"/>
        <n v="64.2637832065145"/>
        <n v="31.0909724642733"/>
        <n v="68.2584909961249"/>
        <n v="41.1355437210101"/>
        <n v="55.879857458001"/>
        <n v="41.9549266247379"/>
        <n v="42.3018203170875"/>
        <n v="62.3616573676027"/>
        <n v="31.7637877211238"/>
        <n v="60.1505156554864"/>
        <n v="47.2815658180888"/>
        <n v="59.4521929087548"/>
        <n v="51.0896309314587"/>
        <n v="34.0082703550549"/>
        <n v="44.6009389671362"/>
        <n v="51.0344827586207"/>
        <n v="59.2653936087295"/>
        <n v="68.8441346071091"/>
        <n v="50.7252382925818"/>
        <n v="40.715667311412"/>
        <n v="42.5404277516954"/>
        <n v="37.5994405105341"/>
        <n v="54.5226615236258"/>
        <n v="36.7575687543333"/>
        <n v="67.5496688741722"/>
        <n v="64.8586707410237"/>
        <n v="52.8874222617084"/>
        <n v="62.1744869794792"/>
        <n v="41.8679549114332"/>
        <n v="57.0136720852621"/>
        <n v="26.7161885245902"/>
        <n v="33.3584022729172"/>
        <n v="49.5343947131271"/>
        <n v="60.8373145587126"/>
        <n v="64.9021229666391"/>
        <n v="43.0123099203476"/>
        <n v="40.3025866276232"/>
        <n v="35.1050847457627"/>
        <n v="69.3017127799736"/>
        <n v="55.7484972807938"/>
        <n v="50.0372948781701"/>
        <n v="42.5755166931638"/>
        <n v="27.4672673518232"/>
        <n v="38.5266889895608"/>
        <n v="41.3486333161423"/>
        <n v="51.3062409288824"/>
        <n v="64.8170139263737"/>
        <n v="58.1933989577302"/>
        <n v="51.6287088285999"/>
        <n v="65.5280585569885"/>
        <n v="53.8559322033898"/>
        <n v="44.5836596188985"/>
        <n v="34.0665823851665"/>
        <n v="49.814585908529"/>
        <n v="37.9393521709166"/>
        <n v="64.8477591515566"/>
        <n v="58.5227272727273"/>
        <n v="39.8456468955949"/>
        <n v="31.9712865819989"/>
        <n v="54.7047445670725"/>
        <n v="55.4137931034483"/>
        <n v="64.8674698795181"/>
        <n v="56.9726994835037"/>
        <n v="51.7199758599879"/>
        <n v="53.7202139730913"/>
        <n v="29.2472233648704"/>
        <n v="44.6379353545477"/>
        <n v="47.1675468074892"/>
        <n v="29.0958605664488"/>
        <n v="58.8509550308317"/>
        <n v="44.8899044453677"/>
        <n v="43.2182067703568"/>
        <n v="27.3593898951382"/>
        <n v="63.0603174603175"/>
        <n v="49.80126256722"/>
        <n v="33.9463733241664"/>
        <n v="46.9123166154896"/>
        <n v="23.7950085730615"/>
        <n v="17.2870140612076"/>
        <n v="49.424485524939"/>
        <n v="39.9293766127937"/>
        <n v="66.9614928270952"/>
        <n v="41.5728530073979"/>
        <n v="14.4622208141929"/>
        <n v="38.8523241464418"/>
        <n v="49.9367355546183"/>
        <n v="36.2627528190442"/>
        <n v="49.741935483871"/>
        <n v="44.7192716236722"/>
        <n v="39.3207924088563"/>
        <n v="34.3456653782441"/>
        <n v="35.3859883980366"/>
        <n v="67.5068119891008"/>
        <n v="57.6506024096386"/>
        <n v="66.322188449848"/>
        <n v="39.1677057356608"/>
        <n v="53.323674791205"/>
        <n v="37.5525736030443"/>
        <n v="57.3333333333333"/>
        <n v="44.7010065127294"/>
        <n v="63.5017301038062"/>
        <n v="42.2629310344828"/>
        <n v="37.3667377398721"/>
        <n v="63.3472697326745"/>
        <n v="46.6541519434629"/>
        <n v="58.1033676333021"/>
        <n v="37.5292982214256"/>
        <n v="40.4576436222006"/>
        <n v="59.5207725947522"/>
        <n v="57.1550619393422"/>
        <n v="47.7065753195756"/>
        <n v="63.9661955413085"/>
        <n v="42.5035360678925"/>
        <e v="#DIV/0!"/>
        <n v="38.3431416930738"/>
        <n v="33.9120998372219"/>
        <n v="62.6071534141295"/>
        <n v="56.1299239806496"/>
        <n v="57.0801687763713"/>
        <n v="64.0144665461121"/>
        <n v="59.6609583117108"/>
        <n v="34.4978165938865"/>
        <n v="44.0868865647627"/>
        <n v="54.5050673330557"/>
        <n v="33.7455035971223"/>
        <n v="67.6879026485326"/>
        <n v="46.9291338582677"/>
        <n v="47.9206049149338"/>
        <n v="41.9953596287703"/>
        <n v="46.2962962962963"/>
        <n v="52.9349213100808"/>
        <n v="38.8481390926379"/>
        <n v="33.0431628581792"/>
        <n v="32.247191011236"/>
        <n v="40.262619372442"/>
        <n v="50"/>
        <n v="56.8664965986395"/>
        <n v="57.5648414985591"/>
        <n v="56.8821554618232"/>
        <n v="68.7877823735285"/>
        <n v="40.3606965174129"/>
        <n v="33.4505532206879"/>
        <n v="69.5270851246776"/>
        <n v="67.9921130463359"/>
        <n v="61.6900647948164"/>
        <n v="65.4217837729011"/>
        <n v="49.3837304847987"/>
        <n v="43.1609827649432"/>
        <n v="27.1609632446135"/>
        <n v="60.0739118532713"/>
        <n v="32.9798830641165"/>
        <n v="35.0891955570515"/>
        <n v="57.3601303639326"/>
        <n v="31.0299129117758"/>
        <n v="65.8087778192217"/>
        <n v="31.740317775571"/>
        <n v="41.8256997455471"/>
        <n v="66.304347826087"/>
        <n v="46.6209598432909"/>
        <n v="56.5442764578834"/>
        <n v="42.2799267320332"/>
        <n v="42.9857819905213"/>
        <n v="59.2343507501293"/>
        <n v="25.5707762557078"/>
        <n v="42.2966507177033"/>
        <n v="67.3932188463232"/>
        <n v="37.5584112149533"/>
        <n v="47.0101541933057"/>
        <n v="39.698901396989"/>
        <n v="56.8726561226154"/>
        <n v="41.358024691358"/>
        <n v="57.4077238550923"/>
        <n v="64.1217298451682"/>
        <n v="62.608117099135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6.5003703704" refreshedBy="prasad" recordCount="203">
  <cacheSource type="worksheet">
    <worksheetSource ref="A1:O204" sheet="Data_Cleaned"/>
  </cacheSource>
  <cacheFields count="15">
    <cacheField name="date_iso" numFmtId="177">
      <sharedItems containsSemiMixedTypes="0" containsString="0" containsNonDate="0" containsDate="1" minDate="2024-01-01T00:00:00" maxDate="2024-12-04T00:00:00" count="203">
        <d v="2024-11-23T00:00:00"/>
        <d v="2024-11-28T00:00:00"/>
        <d v="2024-07-02T00:00:00"/>
        <d v="2024-01-24T00:00:00"/>
        <d v="2024-02-06T00:00:00"/>
        <d v="2024-04-18T00:00:00"/>
        <d v="2024-07-23T00:00:00"/>
        <d v="2024-09-27T00:00:00"/>
        <d v="2024-05-14T00:00:00"/>
        <d v="2024-09-07T00:00:00"/>
        <d v="2024-10-08T00:00:00"/>
        <d v="2024-04-25T00:00:00"/>
        <d v="2024-03-08T00:00:00"/>
        <d v="2024-11-30T00:00:00"/>
        <d v="2024-07-18T00:00:00"/>
        <d v="2024-01-26T00:00:00"/>
        <d v="2024-10-31T00:00:00"/>
        <d v="2024-01-05T00:00:00"/>
        <d v="2024-11-09T00:00:00"/>
        <d v="2024-04-17T00:00:00"/>
        <d v="2024-03-23T00:00:00"/>
        <d v="2024-01-21T00:00:00"/>
        <d v="2024-07-30T00:00:00"/>
        <d v="2024-08-23T00:00:00"/>
        <d v="2024-10-01T00:00:00"/>
        <d v="2024-07-16T00:00:00"/>
        <d v="2024-06-02T00:00:00"/>
        <d v="2024-01-01T00:00:00"/>
        <d v="2024-11-20T00:00:00"/>
        <d v="2024-11-18T00:00:00"/>
        <d v="2024-08-25T00:00:00"/>
        <d v="2024-03-22T00:00:00"/>
        <d v="2024-02-11T00:00:00"/>
        <d v="2024-01-11T00:00:00"/>
        <d v="2024-05-19T00:00:00"/>
        <d v="2024-03-10T00:00:00"/>
        <d v="2024-10-03T00:00:00"/>
        <d v="2024-04-21T00:00:00"/>
        <d v="2024-07-11T00:00:00"/>
        <d v="2024-06-23T00:00:00"/>
        <d v="2024-09-04T00:00:00"/>
        <d v="2024-06-15T00:00:00"/>
        <d v="2024-08-31T00:00:00"/>
        <d v="2024-06-29T00:00:00"/>
        <d v="2024-09-25T00:00:00"/>
        <d v="2024-11-22T00:00:00"/>
        <d v="2024-10-22T00:00:00"/>
        <d v="2024-10-28T00:00:00"/>
        <d v="2024-08-18T00:00:00"/>
        <d v="2024-08-05T00:00:00"/>
        <d v="2024-07-25T00:00:00"/>
        <d v="2024-07-28T00:00:00"/>
        <d v="2024-08-12T00:00:00"/>
        <d v="2024-03-19T00:00:00"/>
        <d v="2024-02-05T00:00:00"/>
        <d v="2024-07-14T00:00:00"/>
        <d v="2024-03-20T00:00:00"/>
        <d v="2024-10-04T00:00:00"/>
        <d v="2024-09-11T00:00:00"/>
        <d v="2024-07-21T00:00:00"/>
        <d v="2024-12-03T00:00:00"/>
        <d v="2024-07-06T00:00:00"/>
        <d v="2024-07-09T00:00:00"/>
        <d v="2024-06-04T00:00:00"/>
        <d v="2024-05-23T00:00:00"/>
        <d v="2024-03-03T00:00:00"/>
        <d v="2024-04-16T00:00:00"/>
        <d v="2024-08-19T00:00:00"/>
        <d v="2024-06-13T00:00:00"/>
        <d v="2024-10-09T00:00:00"/>
        <d v="2024-08-30T00:00:00"/>
        <d v="2024-08-04T00:00:00"/>
        <d v="2024-10-20T00:00:00"/>
        <d v="2024-10-16T00:00:00"/>
        <d v="2024-01-27T00:00:00"/>
        <d v="2024-10-30T00:00:00"/>
        <d v="2024-08-08T00:00:00"/>
        <d v="2024-10-21T00:00:00"/>
        <d v="2024-08-11T00:00:00"/>
        <d v="2024-11-26T00:00:00"/>
        <d v="2024-01-30T00:00:00"/>
        <d v="2024-11-05T00:00:00"/>
        <d v="2024-09-24T00:00:00"/>
        <d v="2024-12-02T00:00:00"/>
        <d v="2024-03-11T00:00:00"/>
        <d v="2024-11-15T00:00:00"/>
        <d v="2024-08-28T00:00:00"/>
        <d v="2024-11-24T00:00:00"/>
        <d v="2024-04-23T00:00:00"/>
        <d v="2024-03-17T00:00:00"/>
        <d v="2024-11-01T00:00:00"/>
        <d v="2024-09-26T00:00:00"/>
        <d v="2024-02-23T00:00:00"/>
        <d v="2024-08-22T00:00:00"/>
        <d v="2024-01-25T00:00:00"/>
        <d v="2024-05-16T00:00:00"/>
        <d v="2024-08-15T00:00:00"/>
        <d v="2024-11-07T00:00:00"/>
        <d v="2024-02-09T00:00:00"/>
        <d v="2024-08-16T00:00:00"/>
        <d v="2024-06-26T00:00:00"/>
        <d v="2024-07-03T00:00:00"/>
        <d v="2024-06-11T00:00:00"/>
        <d v="2024-03-25T00:00:00"/>
        <d v="2024-02-17T00:00:00"/>
        <d v="2024-05-15T00:00:00"/>
        <d v="2024-01-31T00:00:00"/>
        <d v="2024-08-26T00:00:00"/>
        <d v="2024-09-20T00:00:00"/>
        <d v="2024-09-16T00:00:00"/>
        <d v="2024-02-26T00:00:00"/>
        <d v="2024-09-01T00:00:00"/>
        <d v="2024-05-22T00:00:00"/>
        <d v="2024-10-05T00:00:00"/>
        <d v="2024-10-02T00:00:00"/>
        <d v="2024-08-29T00:00:00"/>
        <d v="2024-11-29T00:00:00"/>
        <d v="2024-02-27T00:00:00"/>
        <d v="2024-08-06T00:00:00"/>
        <d v="2024-05-31T00:00:00"/>
        <d v="2024-04-15T00:00:00"/>
        <d v="2024-01-02T00:00:00"/>
        <d v="2024-04-06T00:00:00"/>
        <d v="2024-08-01T00:00:00"/>
        <d v="2024-05-04T00:00:00"/>
        <d v="2024-06-17T00:00:00"/>
        <d v="2024-03-27T00:00:00"/>
        <d v="2024-05-26T00:00:00"/>
        <d v="2024-07-22T00:00:00"/>
        <d v="2024-02-08T00:00:00"/>
        <d v="2024-10-15T00:00:00"/>
        <d v="2024-05-06T00:00:00"/>
        <d v="2024-02-14T00:00:00"/>
        <d v="2024-10-13T00:00:00"/>
        <d v="2024-06-20T00:00:00"/>
        <d v="2024-02-07T00:00:00"/>
        <d v="2024-02-25T00:00:00"/>
        <d v="2024-09-22T00:00:00"/>
        <d v="2024-03-13T00:00:00"/>
        <d v="2024-06-24T00:00:00"/>
        <d v="2024-01-15T00:00:00"/>
        <d v="2024-06-01T00:00:00"/>
        <d v="2024-09-06T00:00:00"/>
        <d v="2024-07-15T00:00:00"/>
        <d v="2024-05-27T00:00:00"/>
        <d v="2024-10-06T00:00:00"/>
        <d v="2024-05-29T00:00:00"/>
        <d v="2024-07-07T00:00:00"/>
        <d v="2024-08-07T00:00:00"/>
        <d v="2024-03-09T00:00:00"/>
        <d v="2024-02-21T00:00:00"/>
        <d v="2024-01-14T00:00:00"/>
        <d v="2024-01-08T00:00:00"/>
        <d v="2024-09-18T00:00:00"/>
        <d v="2024-08-20T00:00:00"/>
        <d v="2024-05-17T00:00:00"/>
        <d v="2024-03-26T00:00:00"/>
        <d v="2024-01-19T00:00:00"/>
        <d v="2024-09-21T00:00:00"/>
        <d v="2024-09-23T00:00:00"/>
        <d v="2024-07-20T00:00:00"/>
        <d v="2024-03-16T00:00:00"/>
        <d v="2024-08-24T00:00:00"/>
        <d v="2024-11-10T00:00:00"/>
        <d v="2024-10-17T00:00:00"/>
        <d v="2024-08-10T00:00:00"/>
        <d v="2024-02-19T00:00:00"/>
        <d v="2024-01-22T00:00:00"/>
        <d v="2024-05-21T00:00:00"/>
        <d v="2024-05-01T00:00:00"/>
        <d v="2024-08-14T00:00:00"/>
        <d v="2024-05-20T00:00:00"/>
        <d v="2024-05-12T00:00:00"/>
        <d v="2024-06-30T00:00:00"/>
        <d v="2024-04-09T00:00:00"/>
        <d v="2024-04-02T00:00:00"/>
        <d v="2024-03-07T00:00:00"/>
        <d v="2024-08-21T00:00:00"/>
        <d v="2024-04-26T00:00:00"/>
        <d v="2024-12-04T00:00:00"/>
        <d v="2024-04-13T00:00:00"/>
        <d v="2024-02-16T00:00:00"/>
        <d v="2024-06-22T00:00:00"/>
        <d v="2024-01-06T00:00:00"/>
        <d v="2024-11-03T00:00:00"/>
        <d v="2024-09-17T00:00:00"/>
        <d v="2024-05-07T00:00:00"/>
        <d v="2024-11-13T00:00:00"/>
        <d v="2024-07-31T00:00:00"/>
        <d v="2024-05-24T00:00:00"/>
        <d v="2024-06-10T00:00:00"/>
        <d v="2024-11-27T00:00:00"/>
        <d v="2024-03-12T00:00:00"/>
        <d v="2024-04-29T00:00:00"/>
        <d v="2024-06-18T00:00:00"/>
        <d v="2024-09-03T00:00:00"/>
        <d v="2024-04-27T00:00:00"/>
        <d v="2024-09-14T00:00:00"/>
        <d v="2024-05-09T00:00:00"/>
        <d v="2024-06-06T00:00:00"/>
        <d v="2024-01-20T00:00:00"/>
        <d v="2024-11-02T00:00:00"/>
        <d v="2024-03-30T00:00:00"/>
      </sharedItems>
    </cacheField>
    <cacheField name="Date" numFmtId="176">
      <sharedItems containsSemiMixedTypes="0" containsString="0" containsNonDate="0" containsDate="1" minDate="2024-01-01T00:00:00" maxDate="2024-12-04T00:00:00" count="203">
        <d v="2024-11-23T00:00:00"/>
        <d v="2024-11-28T00:00:00"/>
        <d v="2024-07-02T00:00:00"/>
        <d v="2024-01-24T00:00:00"/>
        <d v="2024-02-06T00:00:00"/>
        <d v="2024-04-18T00:00:00"/>
        <d v="2024-07-23T00:00:00"/>
        <d v="2024-09-27T00:00:00"/>
        <d v="2024-05-14T00:00:00"/>
        <d v="2024-09-07T00:00:00"/>
        <d v="2024-10-08T00:00:00"/>
        <d v="2024-04-25T00:00:00"/>
        <d v="2024-03-08T00:00:00"/>
        <d v="2024-11-30T00:00:00"/>
        <d v="2024-07-18T00:00:00"/>
        <d v="2024-01-26T00:00:00"/>
        <d v="2024-10-31T00:00:00"/>
        <d v="2024-01-05T00:00:00"/>
        <d v="2024-11-09T00:00:00"/>
        <d v="2024-04-17T00:00:00"/>
        <d v="2024-03-23T00:00:00"/>
        <d v="2024-01-21T00:00:00"/>
        <d v="2024-07-30T00:00:00"/>
        <d v="2024-08-23T00:00:00"/>
        <d v="2024-10-01T00:00:00"/>
        <d v="2024-07-16T00:00:00"/>
        <d v="2024-06-02T00:00:00"/>
        <d v="2024-01-01T00:00:00"/>
        <d v="2024-11-20T00:00:00"/>
        <d v="2024-11-18T00:00:00"/>
        <d v="2024-08-25T00:00:00"/>
        <d v="2024-03-22T00:00:00"/>
        <d v="2024-02-11T00:00:00"/>
        <d v="2024-01-11T00:00:00"/>
        <d v="2024-05-19T00:00:00"/>
        <d v="2024-03-10T00:00:00"/>
        <d v="2024-10-03T00:00:00"/>
        <d v="2024-04-21T00:00:00"/>
        <d v="2024-07-11T00:00:00"/>
        <d v="2024-06-23T00:00:00"/>
        <d v="2024-09-04T00:00:00"/>
        <d v="2024-06-15T00:00:00"/>
        <d v="2024-08-31T00:00:00"/>
        <d v="2024-06-29T00:00:00"/>
        <d v="2024-09-25T00:00:00"/>
        <d v="2024-11-22T00:00:00"/>
        <d v="2024-10-22T00:00:00"/>
        <d v="2024-10-28T00:00:00"/>
        <d v="2024-08-18T00:00:00"/>
        <d v="2024-08-05T00:00:00"/>
        <d v="2024-07-25T00:00:00"/>
        <d v="2024-07-28T00:00:00"/>
        <d v="2024-08-12T00:00:00"/>
        <d v="2024-03-19T00:00:00"/>
        <d v="2024-02-05T00:00:00"/>
        <d v="2024-07-14T00:00:00"/>
        <d v="2024-03-20T00:00:00"/>
        <d v="2024-10-04T00:00:00"/>
        <d v="2024-09-11T00:00:00"/>
        <d v="2024-07-21T00:00:00"/>
        <d v="2024-12-03T00:00:00"/>
        <d v="2024-07-06T00:00:00"/>
        <d v="2024-07-09T00:00:00"/>
        <d v="2024-06-04T00:00:00"/>
        <d v="2024-05-23T00:00:00"/>
        <d v="2024-03-03T00:00:00"/>
        <d v="2024-04-16T00:00:00"/>
        <d v="2024-08-19T00:00:00"/>
        <d v="2024-06-13T00:00:00"/>
        <d v="2024-10-09T00:00:00"/>
        <d v="2024-08-30T00:00:00"/>
        <d v="2024-08-04T00:00:00"/>
        <d v="2024-10-20T00:00:00"/>
        <d v="2024-10-16T00:00:00"/>
        <d v="2024-01-27T00:00:00"/>
        <d v="2024-10-30T00:00:00"/>
        <d v="2024-08-08T00:00:00"/>
        <d v="2024-10-21T00:00:00"/>
        <d v="2024-08-11T00:00:00"/>
        <d v="2024-11-26T00:00:00"/>
        <d v="2024-01-30T00:00:00"/>
        <d v="2024-11-05T00:00:00"/>
        <d v="2024-09-24T00:00:00"/>
        <d v="2024-12-02T00:00:00"/>
        <d v="2024-03-11T00:00:00"/>
        <d v="2024-11-15T00:00:00"/>
        <d v="2024-08-28T00:00:00"/>
        <d v="2024-11-24T00:00:00"/>
        <d v="2024-04-23T00:00:00"/>
        <d v="2024-03-17T00:00:00"/>
        <d v="2024-11-01T00:00:00"/>
        <d v="2024-09-26T00:00:00"/>
        <d v="2024-02-23T00:00:00"/>
        <d v="2024-08-22T00:00:00"/>
        <d v="2024-01-25T00:00:00"/>
        <d v="2024-05-16T00:00:00"/>
        <d v="2024-08-15T00:00:00"/>
        <d v="2024-11-07T00:00:00"/>
        <d v="2024-02-09T00:00:00"/>
        <d v="2024-08-16T00:00:00"/>
        <d v="2024-06-26T00:00:00"/>
        <d v="2024-07-03T00:00:00"/>
        <d v="2024-06-11T00:00:00"/>
        <d v="2024-03-25T00:00:00"/>
        <d v="2024-02-17T00:00:00"/>
        <d v="2024-05-15T00:00:00"/>
        <d v="2024-01-31T00:00:00"/>
        <d v="2024-08-26T00:00:00"/>
        <d v="2024-09-20T00:00:00"/>
        <d v="2024-09-16T00:00:00"/>
        <d v="2024-02-26T00:00:00"/>
        <d v="2024-09-01T00:00:00"/>
        <d v="2024-05-22T00:00:00"/>
        <d v="2024-10-05T00:00:00"/>
        <d v="2024-10-02T00:00:00"/>
        <d v="2024-08-29T00:00:00"/>
        <d v="2024-11-29T00:00:00"/>
        <d v="2024-02-27T00:00:00"/>
        <d v="2024-08-06T00:00:00"/>
        <d v="2024-05-31T00:00:00"/>
        <d v="2024-04-15T00:00:00"/>
        <d v="2024-01-02T00:00:00"/>
        <d v="2024-04-06T00:00:00"/>
        <d v="2024-08-01T00:00:00"/>
        <d v="2024-05-04T00:00:00"/>
        <d v="2024-06-17T00:00:00"/>
        <d v="2024-03-27T00:00:00"/>
        <d v="2024-05-26T00:00:00"/>
        <d v="2024-07-22T00:00:00"/>
        <d v="2024-02-08T00:00:00"/>
        <d v="2024-10-15T00:00:00"/>
        <d v="2024-05-06T00:00:00"/>
        <d v="2024-02-14T00:00:00"/>
        <d v="2024-10-13T00:00:00"/>
        <d v="2024-06-20T00:00:00"/>
        <d v="2024-02-07T00:00:00"/>
        <d v="2024-02-25T00:00:00"/>
        <d v="2024-09-22T00:00:00"/>
        <d v="2024-03-13T00:00:00"/>
        <d v="2024-06-24T00:00:00"/>
        <d v="2024-01-15T00:00:00"/>
        <d v="2024-06-01T00:00:00"/>
        <d v="2024-09-06T00:00:00"/>
        <d v="2024-07-15T00:00:00"/>
        <d v="2024-05-27T00:00:00"/>
        <d v="2024-10-06T00:00:00"/>
        <d v="2024-05-29T00:00:00"/>
        <d v="2024-07-07T00:00:00"/>
        <d v="2024-08-07T00:00:00"/>
        <d v="2024-03-09T00:00:00"/>
        <d v="2024-02-21T00:00:00"/>
        <d v="2024-01-14T00:00:00"/>
        <d v="2024-01-08T00:00:00"/>
        <d v="2024-09-18T00:00:00"/>
        <d v="2024-08-20T00:00:00"/>
        <d v="2024-05-17T00:00:00"/>
        <d v="2024-03-26T00:00:00"/>
        <d v="2024-01-19T00:00:00"/>
        <d v="2024-09-21T00:00:00"/>
        <d v="2024-09-23T00:00:00"/>
        <d v="2024-07-20T00:00:00"/>
        <d v="2024-03-16T00:00:00"/>
        <d v="2024-08-24T00:00:00"/>
        <d v="2024-11-10T00:00:00"/>
        <d v="2024-10-17T00:00:00"/>
        <d v="2024-08-10T00:00:00"/>
        <d v="2024-02-19T00:00:00"/>
        <d v="2024-01-22T00:00:00"/>
        <d v="2024-05-21T00:00:00"/>
        <d v="2024-05-01T00:00:00"/>
        <d v="2024-08-14T00:00:00"/>
        <d v="2024-05-20T00:00:00"/>
        <d v="2024-05-12T00:00:00"/>
        <d v="2024-06-30T00:00:00"/>
        <d v="2024-04-09T00:00:00"/>
        <d v="2024-04-02T00:00:00"/>
        <d v="2024-03-07T00:00:00"/>
        <d v="2024-08-21T00:00:00"/>
        <d v="2024-04-26T00:00:00"/>
        <d v="2024-12-04T00:00:00"/>
        <d v="2024-04-13T00:00:00"/>
        <d v="2024-02-16T00:00:00"/>
        <d v="2024-06-22T00:00:00"/>
        <d v="2024-01-06T00:00:00"/>
        <d v="2024-11-03T00:00:00"/>
        <d v="2024-09-17T00:00:00"/>
        <d v="2024-05-07T00:00:00"/>
        <d v="2024-11-13T00:00:00"/>
        <d v="2024-07-31T00:00:00"/>
        <d v="2024-05-24T00:00:00"/>
        <d v="2024-06-10T00:00:00"/>
        <d v="2024-11-27T00:00:00"/>
        <d v="2024-03-12T00:00:00"/>
        <d v="2024-04-29T00:00:00"/>
        <d v="2024-06-18T00:00:00"/>
        <d v="2024-09-03T00:00:00"/>
        <d v="2024-04-27T00:00:00"/>
        <d v="2024-09-14T00:00:00"/>
        <d v="2024-05-09T00:00:00"/>
        <d v="2024-06-06T00:00:00"/>
        <d v="2024-01-20T00:00:00"/>
        <d v="2024-11-02T00:00:00"/>
        <d v="2024-03-30T00:00:00"/>
      </sharedItems>
    </cacheField>
    <cacheField name="OrderID" numFmtId="0">
      <sharedItems containsSemiMixedTypes="0" containsString="0" containsNumber="1" containsInteger="1" minValue="0" maxValue="1201" count="201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</sharedItems>
    </cacheField>
    <cacheField name="ProductID" numFmtId="0">
      <sharedItems count="30">
        <s v="P008"/>
        <s v="P015"/>
        <s v="P026"/>
        <s v="P003"/>
        <s v="P024"/>
        <s v="P023"/>
        <s v="P005"/>
        <s v="P001"/>
        <s v="P017"/>
        <s v="P029"/>
        <s v="P020"/>
        <s v="P018"/>
        <s v="P019"/>
        <s v="P013"/>
        <s v="P028"/>
        <s v="P022"/>
        <s v="P004"/>
        <s v="P021"/>
        <s v="P014"/>
        <s v="P011"/>
        <s v="P002"/>
        <s v="P025"/>
        <s v="P009"/>
        <s v="P012"/>
        <s v="P016"/>
        <s v="P027"/>
        <s v="P010"/>
        <s v="P030"/>
        <s v="P006"/>
        <s v="P007"/>
      </sharedItems>
    </cacheField>
    <cacheField name="ProductLine" numFmtId="0">
      <sharedItems count="4">
        <s v="Gadgets"/>
        <s v="Tools"/>
        <s v="Widgets"/>
        <s v="Accessories"/>
      </sharedItems>
    </cacheField>
    <cacheField name="Region" numFmtId="0">
      <sharedItems count="4">
        <s v="North"/>
        <s v="South"/>
        <s v="West"/>
        <s v="East"/>
      </sharedItems>
    </cacheField>
    <cacheField name="UnitsSold" numFmtId="0">
      <sharedItems containsSemiMixedTypes="0" containsString="0" containsNumber="1" containsInteger="1" minValue="0" maxValue="25" count="26">
        <n v="1"/>
        <n v="10"/>
        <n v="9"/>
        <n v="11"/>
        <n v="24"/>
        <n v="4"/>
        <n v="5"/>
        <n v="15"/>
        <n v="12"/>
        <n v="3"/>
        <n v="14"/>
        <n v="2"/>
        <n v="13"/>
        <n v="23"/>
        <n v="25"/>
        <n v="19"/>
        <n v="8"/>
        <n v="17"/>
        <n v="6"/>
        <n v="18"/>
        <n v="16"/>
        <n v="7"/>
        <n v="21"/>
        <n v="20"/>
        <n v="22"/>
        <n v="0"/>
      </sharedItems>
    </cacheField>
    <cacheField name="UnitPrice" numFmtId="0">
      <sharedItems containsSemiMixedTypes="0" containsString="0" containsNumber="1" minValue="0" maxValue="119.69" count="198">
        <n v="15.22"/>
        <n v="42.01"/>
        <n v="101.58"/>
        <n v="29.57"/>
        <n v="95.81"/>
        <n v="38.64"/>
        <n v="97.54"/>
        <n v="24.05"/>
        <n v="29.45"/>
        <n v="100.13"/>
        <n v="119.48"/>
        <n v="104.84"/>
        <n v="83.17"/>
        <n v="27.14"/>
        <n v="63.99"/>
        <n v="35.51"/>
        <n v="84.92"/>
        <n v="26.13"/>
        <n v="106.96"/>
        <n v="40.56"/>
        <n v="101.57"/>
        <n v="74.91"/>
        <n v="28.69"/>
        <n v="87.74"/>
        <n v="116.42"/>
        <n v="58.93"/>
        <n v="114.48"/>
        <n v="85.15"/>
        <n v="109.33"/>
        <n v="38.44"/>
        <n v="107.63"/>
        <n v="78.17"/>
        <n v="59.51"/>
        <n v="56.9"/>
        <n v="70.13"/>
        <n v="14.91"/>
        <n v="42.05"/>
        <n v="102.64"/>
        <n v="116.19"/>
        <n v="96.52"/>
        <n v="31.02"/>
        <n v="38.34"/>
        <n v="114.39"/>
        <n v="51.85"/>
        <n v="86.54"/>
        <n v="25.67"/>
        <n v="39.27"/>
        <n v="78.79"/>
        <n v="83.33"/>
        <n v="111.78"/>
        <n v="92.89"/>
        <n v="39.04"/>
        <n v="119.67"/>
        <n v="99.87"/>
        <n v="79.54"/>
        <n v="36.27"/>
        <n v="27.62"/>
        <n v="102.45"/>
        <n v="73.75"/>
        <n v="22.77"/>
        <n v="104.81"/>
        <n v="80.44"/>
        <n v="31.45"/>
        <n v="71.03"/>
        <n v="50.77"/>
        <n v="77.56"/>
        <n v="110.24"/>
        <n v="92.63"/>
        <n v="51.81"/>
        <n v="110.21"/>
        <n v="70.8"/>
        <n v="38.31"/>
        <n v="118.65"/>
        <n v="24.27"/>
        <n v="58.04"/>
        <n v="58.46"/>
        <n v="45.76"/>
        <n v="115.32"/>
        <n v="36.22"/>
        <n v="87.89"/>
        <n v="29"/>
        <n v="41.5"/>
        <n v="94.87"/>
        <n v="16.57"/>
        <n v="61.69"/>
        <n v="24.31"/>
        <n v="79.82"/>
        <n v="41.66"/>
        <n v="91.8"/>
        <n v="66.49"/>
        <n v="48.14"/>
        <n v="87.44"/>
        <n v="31.47"/>
        <n v="78.75"/>
        <n v="42.77"/>
        <n v="116.36"/>
        <n v="29.31"/>
        <n v="52.49"/>
        <n v="60.45"/>
        <n v="57.34"/>
        <n v="73.63"/>
        <n v="92.71"/>
        <n v="62.18"/>
        <n v="63.13"/>
        <n v="48.62"/>
        <n v="47.42"/>
        <n v="55.87"/>
        <n v="15.5"/>
        <n v="65.9"/>
        <n v="60.07"/>
        <n v="89.64"/>
        <n v="58.72"/>
        <n v="33.2"/>
        <n v="16.45"/>
        <n v="64.16"/>
        <n v="117.34"/>
        <n v="99.86"/>
        <n v="75"/>
        <n v="16.89"/>
        <n v="72.25"/>
        <n v="46.4"/>
        <n v="75.04"/>
        <n v="78.93"/>
        <n v="90.56"/>
        <n v="85.52"/>
        <n v="72.53"/>
        <n v="20.54"/>
        <n v="109.76"/>
        <n v="93.64"/>
        <n v="119.69"/>
        <n v="68.63"/>
        <n v="84.84"/>
        <n v="40.16"/>
        <n v="66.27"/>
        <n v="110.58"/>
        <n v="33.83"/>
        <n v="72.35"/>
        <n v="118.5"/>
        <n v="116.13"/>
        <n v="57.81"/>
        <n v="22.9"/>
        <n v="37.29"/>
        <n v="72.03"/>
        <n v="44.48"/>
        <n v="69.85"/>
        <n v="34.88"/>
        <n v="50.8"/>
        <n v="116.38"/>
        <n v="17.24"/>
        <n v="12.71"/>
        <n v="28.08"/>
        <n v="94.04"/>
        <n v="36.81"/>
        <n v="27.57"/>
        <n v="17.8"/>
        <n v="58.64"/>
        <n v="21.88"/>
        <n v="47.04"/>
        <n v="27.76"/>
        <n v="114.47"/>
        <n v="116.17"/>
        <n v="31.43"/>
        <n v="80.4"/>
        <n v="116.59"/>
        <n v="116.3"/>
        <n v="64.14"/>
        <n v="60.86"/>
        <n v="37.04"/>
        <n v="99.34"/>
        <n v="24.34"/>
        <n v="27.27"/>
        <n v="78.9"/>
        <n v="73.06"/>
        <n v="100.91"/>
        <n v="59.42"/>
        <n v="18.41"/>
        <n v="105.64"/>
        <n v="80.43"/>
        <n v="80.56"/>
        <n v="94.32"/>
        <n v="22.08"/>
        <n v="20.42"/>
        <n v="23.15"/>
        <n v="92.81"/>
        <n v="21.1"/>
        <n v="96.65"/>
        <n v="30.66"/>
        <n v="20.9"/>
        <n v="90.84"/>
        <n v="68.48"/>
        <n v="79.77"/>
        <n v="38.41"/>
        <n v="73.73"/>
        <n v="61.33"/>
        <n v="14.58"/>
        <n v="117.04"/>
        <n v="18.73"/>
        <n v="75.15"/>
      </sharedItems>
    </cacheField>
    <cacheField name="UnitCost" numFmtId="0">
      <sharedItems containsSemiMixedTypes="0" containsString="0" containsNumber="1" minValue="0" maxValue="79.75" count="199">
        <n v="8.03"/>
        <n v="27.04"/>
        <n v="69.86"/>
        <n v="17.79"/>
        <n v="30.13"/>
        <n v="16.16"/>
        <n v="32.05"/>
        <n v="12.13"/>
        <n v="21.06"/>
        <n v="54.04"/>
        <n v="59.4"/>
        <n v="42.68"/>
        <n v="40.34"/>
        <n v="13.79"/>
        <n v="45.18"/>
        <n v="22.41"/>
        <n v="30.06"/>
        <n v="13.22"/>
        <n v="39.68"/>
        <n v="25.72"/>
        <n v="45.72"/>
        <n v="26.77"/>
        <n v="19.77"/>
        <n v="27.85"/>
        <n v="68.53"/>
        <n v="26"/>
        <n v="66.45"/>
        <n v="49.13"/>
        <n v="41.15"/>
        <n v="26.23"/>
        <n v="42.89"/>
        <n v="41.21"/>
        <n v="24.13"/>
        <n v="27.83"/>
        <n v="46.28"/>
        <n v="8.26"/>
        <n v="20.59"/>
        <n v="41.81"/>
        <n v="36.2"/>
        <n v="47.56"/>
        <n v="18.39"/>
        <n v="22.03"/>
        <n v="71.38"/>
        <n v="23.58"/>
        <n v="54.73"/>
        <n v="8.33"/>
        <n v="13.8"/>
        <n v="37.12"/>
        <n v="31.52"/>
        <n v="64.98"/>
        <n v="39.93"/>
        <n v="28.61"/>
        <n v="79.75"/>
        <n v="50.4"/>
        <n v="31.15"/>
        <n v="12.73"/>
        <n v="15.74"/>
        <n v="61.16"/>
        <n v="47.86"/>
        <n v="6.99"/>
        <n v="46.38"/>
        <n v="40.19"/>
        <n v="18.06"/>
        <n v="51.52"/>
        <n v="31.21"/>
        <n v="45.49"/>
        <n v="53.68"/>
        <n v="32.59"/>
        <n v="21.66"/>
        <n v="53.31"/>
        <n v="9.89"/>
        <n v="32.67"/>
        <n v="21.23"/>
        <n v="78.23"/>
        <n v="12.18"/>
        <n v="36.02"/>
        <n v="20.55"/>
        <n v="18.98"/>
        <n v="69.37"/>
        <n v="24.64"/>
        <n v="39.81"/>
        <n v="12.93"/>
        <n v="14.58"/>
        <n v="40.82"/>
        <n v="8"/>
        <n v="28.55"/>
        <n v="17.2"/>
        <n v="44.19"/>
        <n v="22.01"/>
        <n v="65.09"/>
        <n v="27.36"/>
        <n v="26.53"/>
        <n v="49.65"/>
        <n v="22.86"/>
        <n v="29.09"/>
        <n v="21.47"/>
        <n v="76.86"/>
        <n v="15.56"/>
        <n v="40"/>
        <n v="50"/>
        <n v="29"/>
        <n v="44.23"/>
        <n v="30.63"/>
        <n v="36.33"/>
        <n v="54"/>
        <n v="29.73"/>
        <n v="23.74"/>
        <n v="35.61"/>
        <n v="7.79"/>
        <n v="36.43"/>
        <n v="36.45"/>
        <n v="23.78"/>
        <n v="57.92"/>
        <n v="19.08"/>
        <n v="14.06"/>
        <n v="5.54"/>
        <n v="39.03"/>
        <n v="54.77"/>
        <n v="62.36"/>
        <n v="32"/>
        <n v="9.34"/>
        <n v="26.37"/>
        <n v="26.79"/>
        <n v="47"/>
        <n v="28.93"/>
        <n v="48.31"/>
        <n v="35.83"/>
        <n v="45.31"/>
        <n v="12.23"/>
        <n v="44.43"/>
        <n v="40.12"/>
        <n v="62.59"/>
        <n v="24.73"/>
        <n v="48.78"/>
        <n v="25.67"/>
        <n v="40.86"/>
        <n v="73.08"/>
        <n v="12.65"/>
        <n v="31.74"/>
        <n v="50.86"/>
        <n v="41.79"/>
        <n v="23.32"/>
        <n v="15"/>
        <n v="20.85"/>
        <n v="32.77"/>
        <n v="29.47"/>
        <n v="22.57"/>
        <n v="22.1"/>
        <n v="26.96"/>
        <n v="22.51"/>
        <n v="60.61"/>
        <n v="10"/>
        <n v="3.88"/>
        <n v="15.08"/>
        <n v="44.26"/>
        <n v="18.46"/>
        <n v="12.06"/>
        <n v="35.03"/>
        <n v="10.94"/>
        <n v="20.29"/>
        <n v="11.78"/>
        <n v="66.29"/>
        <n v="50.09"/>
        <n v="9.81"/>
        <n v="47.95"/>
        <n v="77.59"/>
        <n v="35.44"/>
        <n v="45.81"/>
        <n v="19.48"/>
        <n v="14.19"/>
        <n v="34.35"/>
        <n v="12.32"/>
        <n v="15.5"/>
        <n v="57.47"/>
        <n v="29.17"/>
        <n v="67.63"/>
        <n v="38.57"/>
        <n v="7.85"/>
        <n v="72.86"/>
        <n v="27.5"/>
        <n v="54.99"/>
        <n v="54.87"/>
        <n v="7.44"/>
        <n v="10.9"/>
        <n v="10.06"/>
        <n v="53.57"/>
        <n v="12.03"/>
        <n v="39.4"/>
        <n v="22.82"/>
        <n v="29.62"/>
        <n v="42.76"/>
        <n v="42.27"/>
        <n v="18.14"/>
        <n v="44.46"/>
        <n v="26.45"/>
        <n v="8.55"/>
        <n v="49.85"/>
        <n v="6.72"/>
        <n v="28.1"/>
      </sharedItems>
    </cacheField>
    <cacheField name="MarketingSpend" numFmtId="0">
      <sharedItems containsSemiMixedTypes="0" containsString="0" containsNumber="1" minValue="0" maxValue="199.33" count="200">
        <n v="5.31"/>
        <n v="20.44"/>
        <n v="115.47"/>
        <n v="140.36"/>
        <n v="63.09"/>
        <n v="116.92"/>
        <n v="76.32"/>
        <n v="190.76"/>
        <n v="183.7"/>
        <n v="25.15"/>
        <n v="103.52"/>
        <n v="133.8"/>
        <n v="172.77"/>
        <n v="174.9"/>
        <n v="32.93"/>
        <n v="12.19"/>
        <n v="178.06"/>
        <n v="185.8"/>
        <n v="166.75"/>
        <n v="31.09"/>
        <n v="26.16"/>
        <n v="61.65"/>
        <n v="195.24"/>
        <n v="94.14"/>
        <n v="79.94"/>
        <n v="121.24"/>
        <n v="132.68"/>
        <n v="60.19"/>
        <n v="16.96"/>
        <n v="14.57"/>
        <n v="160.82"/>
        <n v="166.11"/>
        <n v="67.17"/>
        <n v="180.97"/>
        <n v="179.56"/>
        <n v="5.42"/>
        <n v="166.98"/>
        <n v="94.71"/>
        <n v="62.39"/>
        <n v="74.11"/>
        <n v="123.18"/>
        <n v="75.8"/>
        <n v="97.72"/>
        <n v="199.33"/>
        <n v="55.3"/>
        <n v="58.43"/>
        <n v="13.07"/>
        <n v="181.7"/>
        <n v="15.01"/>
        <n v="132.24"/>
        <n v="24.87"/>
        <n v="167.19"/>
        <n v="193.81"/>
        <n v="62.9"/>
        <n v="109.84"/>
        <n v="189.41"/>
        <n v="149.26"/>
        <n v="173.05"/>
        <n v="8.73"/>
        <n v="28.83"/>
        <n v="143.74"/>
        <n v="138.8"/>
        <n v="76.51"/>
        <n v="197.53"/>
        <n v="4.39"/>
        <n v="124.18"/>
        <n v="40.16"/>
        <n v="192.58"/>
        <n v="76.21"/>
        <n v="27.96"/>
        <n v="97.87"/>
        <n v="79.63"/>
        <n v="13.72"/>
        <n v="21.99"/>
        <n v="72.41"/>
        <n v="88.71"/>
        <n v="130.94"/>
        <n v="190.72"/>
        <n v="82.16"/>
        <n v="73.51"/>
        <n v="1.22"/>
        <n v="188.28"/>
        <n v="85.98"/>
        <n v="24"/>
        <n v="184.23"/>
        <n v="87.34"/>
        <n v="69.88"/>
        <n v="115.89"/>
        <n v="62.08"/>
        <n v="114.33"/>
        <n v="87.55"/>
        <n v="77.31"/>
        <n v="187.6"/>
        <n v="97.25"/>
        <n v="36.17"/>
        <n v="106.8"/>
        <n v="27.68"/>
        <n v="166.21"/>
        <n v="186.17"/>
        <n v="15.85"/>
        <n v="22.17"/>
        <n v="104.7"/>
        <n v="48.23"/>
        <n v="162.3"/>
        <n v="129.38"/>
        <n v="73.47"/>
        <n v="143.53"/>
        <n v="32"/>
        <n v="74.19"/>
        <n v="52.36"/>
        <n v="169.1"/>
        <n v="47.35"/>
        <n v="164.67"/>
        <n v="24.83"/>
        <n v="125"/>
        <n v="189.71"/>
        <n v="59.49"/>
        <n v="112.33"/>
        <n v="37.97"/>
        <n v="119.5"/>
        <n v="72.5"/>
        <n v="120.49"/>
        <n v="168.52"/>
        <n v="137.61"/>
        <n v="136.15"/>
        <n v="112.18"/>
        <n v="96.84"/>
        <n v="57.56"/>
        <n v="149.47"/>
        <n v="20.04"/>
        <n v="11.83"/>
        <n v="187.32"/>
        <n v="100.84"/>
        <n v="127.75"/>
        <n v="190.81"/>
        <n v="62.2"/>
        <n v="165.12"/>
        <n v="170.9"/>
        <n v="4.35"/>
        <n v="36"/>
        <n v="172.06"/>
        <n v="92.13"/>
        <n v="119.56"/>
        <n v="115.49"/>
        <n v="128.66"/>
        <n v="182.95"/>
        <n v="75.43"/>
        <n v="149.38"/>
        <n v="99.46"/>
        <n v="83.52"/>
        <n v="33.65"/>
        <n v="27.5"/>
        <n v="105.88"/>
        <n v="163.04"/>
        <n v="110.54"/>
        <n v="113.36"/>
        <n v="185.77"/>
        <n v="68.12"/>
        <n v="17.14"/>
        <n v="152.27"/>
        <n v="77.56"/>
        <n v="59.95"/>
        <n v="138.99"/>
        <n v="145.44"/>
        <n v="143.05"/>
        <n v="118.76"/>
        <n v="51.75"/>
        <n v="17.17"/>
        <n v="142.16"/>
        <n v="128.1"/>
        <n v="174.4"/>
        <n v="34.51"/>
        <n v="114.96"/>
        <n v="96.92"/>
        <n v="6.54"/>
        <n v="8.32"/>
        <n v="47.39"/>
        <n v="107.75"/>
        <n v="49.94"/>
        <n v="103.12"/>
        <n v="159.14"/>
        <n v="167.34"/>
        <n v="132.9"/>
        <n v="89.01"/>
        <n v="76.54"/>
        <n v="88.48"/>
        <n v="121.52"/>
        <n v="77.18"/>
        <n v="14.6"/>
        <n v="55.49"/>
        <n v="17.24"/>
        <n v="33.39"/>
        <n v="11.09"/>
        <n v="30.02"/>
        <n v="10.53"/>
        <n v="156.9"/>
        <n v="138.69"/>
        <n v="8.78"/>
        <n v="58.34"/>
        <n v="93.21"/>
      </sharedItems>
    </cacheField>
    <cacheField name="Revenue" numFmtId="0">
      <sharedItems containsSemiMixedTypes="0" containsString="0" containsNumber="1" minValue="0" maxValue="2914.75" count="194">
        <n v="15.22"/>
        <n v="420.1"/>
        <n v="914.22"/>
        <n v="325.27"/>
        <n v="2299.44"/>
        <n v="154.56"/>
        <n v="487.7"/>
        <n v="240.5"/>
        <n v="706.8"/>
        <n v="1501.95"/>
        <n v="1433.76"/>
        <n v="104.84"/>
        <n v="249.51"/>
        <n v="379.96"/>
        <n v="959.85"/>
        <n v="319.59"/>
        <n v="169.84"/>
        <n v="313.56"/>
        <n v="213.92"/>
        <n v="162.24"/>
        <n v="1320.41"/>
        <n v="824.01"/>
        <n v="659.87"/>
        <n v="2193.5"/>
        <n v="232.84"/>
        <n v="1119.67"/>
        <n v="228.96"/>
        <n v="1021.8"/>
        <n v="2733.25"/>
        <n v="38.44"/>
        <n v="2583.12"/>
        <n v="1094.38"/>
        <n v="476.08"/>
        <n v="796.6"/>
        <n v="911.69"/>
        <n v="253.47"/>
        <n v="504.6"/>
        <n v="615.84"/>
        <n v="580.95"/>
        <n v="1737.36"/>
        <n v="403.26"/>
        <n v="536.76"/>
        <n v="1830.24"/>
        <n v="933.3"/>
        <n v="2076.96"/>
        <n v="436.39"/>
        <n v="39.27"/>
        <n v="1969.75"/>
        <n v="666.64"/>
        <n v="782.46"/>
        <n v="1764.91"/>
        <n v="741.76"/>
        <n v="598.35"/>
        <n v="1198.44"/>
        <n v="1193.1"/>
        <n v="72.54"/>
        <n v="469.54"/>
        <n v="922.05"/>
        <n v="516.25"/>
        <n v="318.78"/>
        <n v="2201.01"/>
        <n v="1930.56"/>
        <n v="786.25"/>
        <n v="1491.63"/>
        <n v="913.86"/>
        <n v="542.92"/>
        <n v="220.48"/>
        <n v="833.67"/>
        <n v="725.34"/>
        <n v="1542.94"/>
        <n v="778.8"/>
        <n v="383.1"/>
        <n v="474.6"/>
        <n v="388.32"/>
        <n v="696.48"/>
        <n v="1110.74"/>
        <n v="137.28"/>
        <n v="2075.76"/>
        <n v="543.3"/>
        <n v="703.12"/>
        <n v="290"/>
        <n v="539.5"/>
        <n v="569.22"/>
        <n v="381.11"/>
        <n v="1172.11"/>
        <n v="486.2"/>
        <n v="1915.68"/>
        <n v="1041.5"/>
        <n v="2295"/>
        <n v="132.98"/>
        <n v="962.8"/>
        <n v="1748.8"/>
        <n v="283.23"/>
        <n v="1890"/>
        <n v="812.63"/>
        <n v="1512.68"/>
        <n v="703.44"/>
        <n v="104.98"/>
        <n v="906.75"/>
        <n v="401.38"/>
        <n v="515.41"/>
        <n v="741.68"/>
        <n v="1305.78"/>
        <n v="1073.21"/>
        <n v="583.44"/>
        <n v="94.84"/>
        <n v="1117.4"/>
        <n v="279"/>
        <n v="329.5"/>
        <n v="1321.54"/>
        <n v="579.52"/>
        <n v="1972.08"/>
        <n v="234.88"/>
        <n v="265.6"/>
        <n v="296.1"/>
        <n v="577.44"/>
        <n v="1290.74"/>
        <n v="499.3"/>
        <n v="450"/>
        <n v="185.79"/>
        <n v="722.5"/>
        <n v="881.6"/>
        <n v="975.52"/>
        <n v="1815.39"/>
        <n v="2082.88"/>
        <n v="1966.96"/>
        <n v="797.83"/>
        <n v="451.88"/>
        <n v="2304.96"/>
        <n v="561.84"/>
        <n v="119.69"/>
        <n v="1166.71"/>
        <n v="1527.12"/>
        <n v="0"/>
        <n v="1391.67"/>
        <n v="1879.86"/>
        <n v="541.28"/>
        <n v="72.35"/>
        <n v="237"/>
        <n v="2438.73"/>
        <n v="982.77"/>
        <n v="45.8"/>
        <n v="335.61"/>
        <n v="936.39"/>
        <n v="311.36"/>
        <n v="139.7"/>
        <n v="1016"/>
        <n v="1745.7"/>
        <n v="362.04"/>
        <n v="449.28"/>
        <n v="1880.8"/>
        <n v="36.81"/>
        <n v="496.26"/>
        <n v="195.8"/>
        <n v="703.68"/>
        <n v="65.64"/>
        <n v="1176"/>
        <n v="416.4"/>
        <n v="580.85"/>
        <n v="534.31"/>
        <n v="321.6"/>
        <n v="2914.75"/>
        <n v="1163"/>
        <n v="1338.92"/>
        <n v="518.56"/>
        <n v="2185.48"/>
        <n v="438.12"/>
        <n v="599.94"/>
        <n v="1104.6"/>
        <n v="146.12"/>
        <n v="1715.47"/>
        <n v="118.84"/>
        <n v="460.25"/>
        <n v="845.12"/>
        <n v="160.86"/>
        <n v="1127.84"/>
        <n v="1980.72"/>
        <n v="176.64"/>
        <n v="306.3"/>
        <n v="69.45"/>
        <n v="1856.2"/>
        <n v="422"/>
        <n v="96.65"/>
        <n v="643.86"/>
        <n v="250.8"/>
        <n v="1180.92"/>
        <n v="753.28"/>
        <n v="1435.86"/>
        <n v="147.46"/>
        <n v="1042.61"/>
        <n v="189.54"/>
        <n v="117.04"/>
        <n v="337.14"/>
        <n v="1803.6"/>
      </sharedItems>
    </cacheField>
    <cacheField name="COGS" numFmtId="0">
      <sharedItems containsSemiMixedTypes="0" containsString="0" containsNumber="1" minValue="0" maxValue="1939.75" count="195">
        <n v="8.03"/>
        <n v="270.4"/>
        <n v="628.74"/>
        <n v="195.69"/>
        <n v="723.12"/>
        <n v="64.64"/>
        <n v="160.25"/>
        <n v="121.3"/>
        <n v="505.44"/>
        <n v="810.6"/>
        <n v="712.8"/>
        <n v="42.68"/>
        <n v="121.02"/>
        <n v="193.06"/>
        <n v="677.7"/>
        <n v="201.69"/>
        <n v="60.12"/>
        <n v="158.64"/>
        <n v="79.36"/>
        <n v="102.88"/>
        <n v="594.36"/>
        <n v="294.47"/>
        <n v="454.71"/>
        <n v="696.25"/>
        <n v="137.06"/>
        <n v="494"/>
        <n v="132.9"/>
        <n v="589.56"/>
        <n v="1028.75"/>
        <n v="26.23"/>
        <n v="1029.36"/>
        <n v="576.94"/>
        <n v="193.04"/>
        <n v="389.62"/>
        <n v="601.64"/>
        <n v="140.42"/>
        <n v="247.08"/>
        <n v="250.86"/>
        <n v="181"/>
        <n v="856.08"/>
        <n v="239.07"/>
        <n v="308.42"/>
        <n v="1142.08"/>
        <n v="424.44"/>
        <n v="1313.52"/>
        <n v="141.61"/>
        <n v="13.8"/>
        <n v="928"/>
        <n v="252.16"/>
        <n v="454.86"/>
        <n v="758.67"/>
        <n v="543.59"/>
        <n v="398.75"/>
        <n v="604.8"/>
        <n v="467.25"/>
        <n v="25.46"/>
        <n v="267.58"/>
        <n v="550.44"/>
        <n v="335.02"/>
        <n v="97.86"/>
        <n v="973.98"/>
        <n v="964.56"/>
        <n v="451.5"/>
        <n v="1081.92"/>
        <n v="561.78"/>
        <n v="318.43"/>
        <n v="107.36"/>
        <n v="293.31"/>
        <n v="303.24"/>
        <n v="746.34"/>
        <n v="227.47"/>
        <n v="359.37"/>
        <n v="212.3"/>
        <n v="312.92"/>
        <n v="194.88"/>
        <n v="432.24"/>
        <n v="390.45"/>
        <n v="56.94"/>
        <n v="1248.66"/>
        <n v="369.6"/>
        <n v="318.48"/>
        <n v="129.3"/>
        <n v="189.54"/>
        <n v="244.92"/>
        <n v="184"/>
        <n v="542.45"/>
        <n v="344"/>
        <n v="1060.56"/>
        <n v="550.25"/>
        <n v="1627.25"/>
        <n v="54.72"/>
        <n v="530.6"/>
        <n v="993"/>
        <n v="205.74"/>
        <n v="698.16"/>
        <n v="407.93"/>
        <n v="999.18"/>
        <n v="373.44"/>
        <n v="80"/>
        <n v="750"/>
        <n v="203"/>
        <n v="309.61"/>
        <n v="245.04"/>
        <n v="762.93"/>
        <n v="918"/>
        <n v="356.76"/>
        <n v="47.48"/>
        <n v="712.2"/>
        <n v="140.22"/>
        <n v="182.15"/>
        <n v="801.9"/>
        <n v="380.48"/>
        <n v="1274.24"/>
        <n v="76.32"/>
        <n v="112.48"/>
        <n v="99.72"/>
        <n v="351.27"/>
        <n v="602.47"/>
        <n v="311.8"/>
        <n v="192"/>
        <n v="102.74"/>
        <n v="263.7"/>
        <n v="509.01"/>
        <n v="611"/>
        <n v="665.39"/>
        <n v="1111.13"/>
        <n v="824.09"/>
        <n v="498.41"/>
        <n v="269.06"/>
        <n v="933.03"/>
        <n v="240.72"/>
        <n v="62.59"/>
        <n v="420.41"/>
        <n v="878.04"/>
        <n v="0"/>
        <n v="858.06"/>
        <n v="1242.36"/>
        <n v="202.4"/>
        <n v="31.74"/>
        <n v="101.72"/>
        <n v="877.59"/>
        <n v="396.44"/>
        <n v="30"/>
        <n v="187.65"/>
        <n v="426.01"/>
        <n v="206.29"/>
        <n v="45.14"/>
        <n v="539.2"/>
        <n v="909.15"/>
        <n v="210"/>
        <n v="241.28"/>
        <n v="885.2"/>
        <n v="22.51"/>
        <n v="332.28"/>
        <n v="132.66"/>
        <n v="420.36"/>
        <n v="32.82"/>
        <n v="507.25"/>
        <n v="176.7"/>
        <n v="250.45"/>
        <n v="166.77"/>
        <n v="191.8"/>
        <n v="1939.75"/>
        <n v="354.4"/>
        <n v="428.56"/>
        <n v="198.66"/>
        <n v="755.7"/>
        <n v="221.76"/>
        <n v="341"/>
        <n v="804.58"/>
        <n v="58.34"/>
        <n v="1149.71"/>
        <n v="77.14"/>
        <n v="196.25"/>
        <n v="582.88"/>
        <n v="55"/>
        <n v="769.86"/>
        <n v="1152.27"/>
        <n v="59.52"/>
        <n v="163.5"/>
        <n v="30.18"/>
        <n v="1071.4"/>
        <n v="240.6"/>
        <n v="39.4"/>
        <n v="479.22"/>
        <n v="144.72"/>
        <n v="385.06"/>
        <n v="470.36"/>
        <n v="760.86"/>
        <n v="88.92"/>
        <n v="449.65"/>
        <n v="111.15"/>
        <n v="49.85"/>
        <n v="120.96"/>
        <n v="674.4"/>
      </sharedItems>
    </cacheField>
    <cacheField name="Gross_profit" numFmtId="0">
      <sharedItems containsSemiMixedTypes="0" containsString="0" containsNumber="1" minValue="0" maxValue="1704.5" count="195">
        <n v="7.19"/>
        <n v="149.7"/>
        <n v="285.48"/>
        <n v="129.58"/>
        <n v="1576.32"/>
        <n v="89.92"/>
        <n v="327.45"/>
        <n v="119.2"/>
        <n v="201.36"/>
        <n v="691.35"/>
        <n v="720.96"/>
        <n v="62.16"/>
        <n v="128.49"/>
        <n v="186.9"/>
        <n v="282.15"/>
        <n v="117.9"/>
        <n v="109.72"/>
        <n v="154.92"/>
        <n v="134.56"/>
        <n v="59.36"/>
        <n v="726.05"/>
        <n v="529.54"/>
        <n v="205.16"/>
        <n v="1497.25"/>
        <n v="95.78"/>
        <n v="625.67"/>
        <n v="96.06"/>
        <n v="432.24"/>
        <n v="1704.5"/>
        <n v="12.21"/>
        <n v="1553.76"/>
        <n v="517.44"/>
        <n v="283.04"/>
        <n v="406.98"/>
        <n v="310.05"/>
        <n v="113.05"/>
        <n v="257.52"/>
        <n v="364.98"/>
        <n v="399.95"/>
        <n v="881.28"/>
        <n v="164.19"/>
        <n v="228.34"/>
        <n v="688.16"/>
        <n v="508.86"/>
        <n v="763.44"/>
        <n v="294.78"/>
        <n v="25.47"/>
        <n v="1041.75"/>
        <n v="414.48"/>
        <n v="327.6"/>
        <n v="1006.24"/>
        <n v="198.17"/>
        <n v="199.6"/>
        <n v="593.64"/>
        <n v="725.85"/>
        <n v="47.08"/>
        <n v="201.96"/>
        <n v="371.61"/>
        <n v="181.23"/>
        <n v="220.92"/>
        <n v="1227.03"/>
        <n v="966"/>
        <n v="334.75"/>
        <n v="409.71"/>
        <n v="352.08"/>
        <n v="224.49"/>
        <n v="113.12"/>
        <n v="540.36"/>
        <n v="422.1"/>
        <n v="796.6"/>
        <n v="432.4"/>
        <n v="419.43"/>
        <n v="170.8"/>
        <n v="161.68"/>
        <n v="193.44"/>
        <n v="264.24"/>
        <n v="720.29"/>
        <n v="80.34"/>
        <n v="827.1"/>
        <n v="173.7"/>
        <n v="384.64"/>
        <n v="160.7"/>
        <n v="349.96"/>
        <n v="324.3"/>
        <n v="197.11"/>
        <n v="629.66"/>
        <n v="142.2"/>
        <n v="855.12"/>
        <n v="491.25"/>
        <n v="667.75"/>
        <n v="78.26"/>
        <n v="432.2"/>
        <n v="755.8"/>
        <n v="77.49"/>
        <n v="1191.84"/>
        <n v="404.7"/>
        <n v="513.5"/>
        <n v="330"/>
        <n v="24.98"/>
        <n v="156.75"/>
        <n v="198.38"/>
        <n v="205.8"/>
        <n v="496.64"/>
        <n v="542.85"/>
        <n v="155.21"/>
        <n v="226.68"/>
        <n v="47.36"/>
        <n v="405.2"/>
        <n v="138.78"/>
        <n v="147.35"/>
        <n v="519.64"/>
        <n v="199.04"/>
        <n v="697.84"/>
        <n v="158.56"/>
        <n v="153.12"/>
        <n v="196.38"/>
        <n v="226.17"/>
        <n v="688.27"/>
        <n v="187.5"/>
        <n v="258"/>
        <n v="83.05"/>
        <n v="458.8"/>
        <n v="372.59"/>
        <n v="364.52"/>
        <n v="1150"/>
        <n v="971.75"/>
        <n v="1142.87"/>
        <n v="299.42"/>
        <n v="182.82"/>
        <n v="1371.93"/>
        <n v="321.12"/>
        <n v="57.1"/>
        <n v="746.3"/>
        <n v="649.08"/>
        <n v="0"/>
        <n v="533.61"/>
        <n v="637.5"/>
        <n v="338.88"/>
        <n v="40.61"/>
        <n v="135.28"/>
        <n v="1561.14"/>
        <n v="586.33"/>
        <n v="15.8"/>
        <n v="147.96"/>
        <n v="510.38"/>
        <n v="105.07"/>
        <n v="94.56"/>
        <n v="476.8"/>
        <n v="836.55"/>
        <n v="152.04"/>
        <n v="208"/>
        <n v="995.6"/>
        <n v="14.3"/>
        <n v="163.98"/>
        <n v="63.14"/>
        <n v="283.32"/>
        <n v="32.82"/>
        <n v="668.75"/>
        <n v="239.7"/>
        <n v="330.4"/>
        <n v="367.54"/>
        <n v="129.8"/>
        <n v="975"/>
        <n v="808.6"/>
        <n v="910.36"/>
        <n v="319.9"/>
        <n v="1429.78"/>
        <n v="216.36"/>
        <n v="258.94"/>
        <n v="300.02"/>
        <n v="87.78"/>
        <n v="565.76"/>
        <n v="41.7"/>
        <n v="264"/>
        <n v="262.24"/>
        <n v="105.86"/>
        <n v="357.98"/>
        <n v="828.45"/>
        <n v="117.12"/>
        <n v="142.8"/>
        <n v="39.27"/>
        <n v="784.8"/>
        <n v="181.4"/>
        <n v="57.25"/>
        <n v="164.64"/>
        <n v="106.08"/>
        <n v="795.86"/>
        <n v="282.92"/>
        <n v="675"/>
        <n v="58.54"/>
        <n v="592.96"/>
        <n v="78.39"/>
        <n v="67.19"/>
        <n v="216.18"/>
        <n v="1129.2"/>
      </sharedItems>
    </cacheField>
    <cacheField name="Margin%" numFmtId="0">
      <sharedItems containsNumber="1" containsMixedTypes="1" count="195">
        <n v="47.2404730617608"/>
        <n v="35.6343727683885"/>
        <n v="31.2266194132703"/>
        <n v="39.8376733175516"/>
        <n v="68.5523431792088"/>
        <n v="58.1780538302277"/>
        <n v="67.1416854623744"/>
        <n v="49.5634095634096"/>
        <n v="28.4889643463497"/>
        <n v="46.0301607909717"/>
        <n v="50.2845664546368"/>
        <n v="59.2903471957268"/>
        <n v="51.4969339906216"/>
        <n v="49.1893883566691"/>
        <n v="29.3952180028129"/>
        <n v="36.891016615038"/>
        <n v="64.6019783325483"/>
        <n v="49.4068120933793"/>
        <n v="62.9020194465221"/>
        <n v="36.5877712031558"/>
        <n v="54.986708673821"/>
        <n v="64.2637832065145"/>
        <n v="31.0909724642733"/>
        <n v="68.2584909961249"/>
        <n v="41.1355437210101"/>
        <n v="55.879857458001"/>
        <n v="41.9549266247379"/>
        <n v="42.3018203170875"/>
        <n v="62.3616573676027"/>
        <n v="31.7637877211238"/>
        <n v="60.1505156554864"/>
        <n v="47.2815658180888"/>
        <n v="59.4521929087548"/>
        <n v="51.0896309314587"/>
        <n v="34.0082703550549"/>
        <n v="44.6009389671362"/>
        <n v="51.0344827586207"/>
        <n v="59.2653936087295"/>
        <n v="68.8441346071091"/>
        <n v="50.7252382925818"/>
        <n v="40.715667311412"/>
        <n v="42.5404277516954"/>
        <n v="37.5994405105341"/>
        <n v="54.5226615236258"/>
        <n v="36.7575687543333"/>
        <n v="67.5496688741722"/>
        <n v="64.8586707410237"/>
        <n v="52.8874222617084"/>
        <n v="62.1744869794792"/>
        <n v="41.8679549114332"/>
        <n v="57.0136720852621"/>
        <n v="26.7161885245902"/>
        <n v="33.3584022729172"/>
        <n v="49.5343947131271"/>
        <n v="60.8373145587126"/>
        <n v="64.9021229666391"/>
        <n v="43.0123099203476"/>
        <n v="40.3025866276232"/>
        <n v="35.1050847457627"/>
        <n v="69.3017127799736"/>
        <n v="55.7484972807938"/>
        <n v="50.0372948781701"/>
        <n v="42.5755166931638"/>
        <n v="27.4672673518232"/>
        <n v="38.5266889895608"/>
        <n v="41.3486333161423"/>
        <n v="51.3062409288824"/>
        <n v="64.8170139263737"/>
        <n v="58.1933989577302"/>
        <n v="51.6287088285999"/>
        <n v="65.5280585569885"/>
        <n v="53.8559322033898"/>
        <n v="44.5836596188985"/>
        <n v="34.0665823851665"/>
        <n v="49.814585908529"/>
        <n v="37.9393521709166"/>
        <n v="64.8477591515566"/>
        <n v="58.5227272727273"/>
        <n v="39.8456468955949"/>
        <n v="31.9712865819989"/>
        <n v="54.7047445670725"/>
        <n v="55.4137931034483"/>
        <n v="64.8674698795181"/>
        <n v="56.9726994835037"/>
        <n v="51.7199758599879"/>
        <n v="53.7202139730913"/>
        <n v="29.2472233648704"/>
        <n v="44.6379353545477"/>
        <n v="47.1675468074892"/>
        <n v="29.0958605664488"/>
        <n v="58.8509550308317"/>
        <n v="44.8899044453677"/>
        <n v="43.2182067703568"/>
        <n v="27.3593898951382"/>
        <n v="63.0603174603175"/>
        <n v="49.80126256722"/>
        <n v="33.9463733241664"/>
        <n v="46.9123166154896"/>
        <n v="23.7950085730615"/>
        <n v="17.2870140612076"/>
        <n v="49.424485524939"/>
        <n v="39.9293766127937"/>
        <n v="66.9614928270952"/>
        <n v="41.5728530073979"/>
        <n v="14.4622208141929"/>
        <n v="38.8523241464418"/>
        <n v="49.9367355546183"/>
        <n v="36.2627528190442"/>
        <n v="49.741935483871"/>
        <n v="44.7192716236722"/>
        <n v="39.3207924088563"/>
        <n v="34.3456653782441"/>
        <n v="35.3859883980366"/>
        <n v="67.5068119891008"/>
        <n v="57.6506024096386"/>
        <n v="66.322188449848"/>
        <n v="39.1677057356608"/>
        <n v="53.323674791205"/>
        <n v="37.5525736030443"/>
        <n v="57.3333333333333"/>
        <n v="44.7010065127294"/>
        <n v="63.5017301038062"/>
        <n v="42.2629310344828"/>
        <n v="37.3667377398721"/>
        <n v="63.3472697326745"/>
        <n v="46.6541519434629"/>
        <n v="58.1033676333021"/>
        <n v="37.5292982214256"/>
        <n v="40.4576436222006"/>
        <n v="59.5207725947522"/>
        <n v="57.1550619393422"/>
        <n v="47.7065753195756"/>
        <n v="63.9661955413085"/>
        <n v="42.5035360678925"/>
        <e v="#DIV/0!"/>
        <n v="38.3431416930738"/>
        <n v="33.9120998372219"/>
        <n v="62.6071534141295"/>
        <n v="56.1299239806496"/>
        <n v="57.0801687763713"/>
        <n v="64.0144665461121"/>
        <n v="59.6609583117108"/>
        <n v="34.4978165938865"/>
        <n v="44.0868865647627"/>
        <n v="54.5050673330557"/>
        <n v="33.7455035971223"/>
        <n v="67.6879026485326"/>
        <n v="46.9291338582677"/>
        <n v="47.9206049149338"/>
        <n v="41.9953596287703"/>
        <n v="46.2962962962963"/>
        <n v="52.9349213100808"/>
        <n v="38.8481390926379"/>
        <n v="33.0431628581792"/>
        <n v="32.247191011236"/>
        <n v="40.262619372442"/>
        <n v="50"/>
        <n v="56.8664965986395"/>
        <n v="57.5648414985591"/>
        <n v="56.8821554618232"/>
        <n v="68.7877823735285"/>
        <n v="40.3606965174129"/>
        <n v="33.4505532206879"/>
        <n v="69.5270851246776"/>
        <n v="67.9921130463359"/>
        <n v="61.6900647948164"/>
        <n v="65.4217837729011"/>
        <n v="49.3837304847987"/>
        <n v="43.1609827649432"/>
        <n v="27.1609632446135"/>
        <n v="60.0739118532713"/>
        <n v="32.9798830641165"/>
        <n v="35.0891955570515"/>
        <n v="57.3601303639326"/>
        <n v="31.0299129117758"/>
        <n v="65.8087778192217"/>
        <n v="31.740317775571"/>
        <n v="41.8256997455471"/>
        <n v="66.304347826087"/>
        <n v="46.6209598432909"/>
        <n v="56.5442764578834"/>
        <n v="42.2799267320332"/>
        <n v="42.9857819905213"/>
        <n v="59.2343507501293"/>
        <n v="25.5707762557078"/>
        <n v="42.2966507177033"/>
        <n v="67.3932188463232"/>
        <n v="37.5584112149533"/>
        <n v="47.0101541933057"/>
        <n v="39.698901396989"/>
        <n v="56.8726561226154"/>
        <n v="41.358024691358"/>
        <n v="57.4077238550923"/>
        <n v="64.1217298451682"/>
        <n v="62.6081170991351"/>
      </sharedItems>
    </cacheField>
    <cacheField name="Helper" numFmtId="0">
      <sharedItems count="12">
        <s v="2024-11"/>
        <s v="2024-07"/>
        <s v="2024-01"/>
        <s v="2024-02"/>
        <s v="2024-04"/>
        <s v="2024-09"/>
        <s v="2024-05"/>
        <s v="2024-10"/>
        <s v="2024-03"/>
        <s v="2024-08"/>
        <s v="2024-06"/>
        <s v="2024-12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2"/>
    <x v="2"/>
    <x v="2"/>
    <x v="2"/>
    <x v="2"/>
  </r>
  <r>
    <x v="3"/>
    <x v="3"/>
    <x v="3"/>
    <x v="3"/>
    <x v="0"/>
    <x v="2"/>
    <x v="3"/>
    <x v="3"/>
    <x v="3"/>
    <x v="3"/>
    <x v="3"/>
    <x v="3"/>
    <x v="3"/>
    <x v="3"/>
  </r>
  <r>
    <x v="4"/>
    <x v="4"/>
    <x v="4"/>
    <x v="4"/>
    <x v="0"/>
    <x v="1"/>
    <x v="4"/>
    <x v="4"/>
    <x v="4"/>
    <x v="4"/>
    <x v="4"/>
    <x v="4"/>
    <x v="4"/>
    <x v="4"/>
  </r>
  <r>
    <x v="5"/>
    <x v="5"/>
    <x v="5"/>
    <x v="5"/>
    <x v="1"/>
    <x v="2"/>
    <x v="5"/>
    <x v="5"/>
    <x v="5"/>
    <x v="5"/>
    <x v="5"/>
    <x v="5"/>
    <x v="5"/>
    <x v="5"/>
  </r>
  <r>
    <x v="6"/>
    <x v="6"/>
    <x v="6"/>
    <x v="6"/>
    <x v="3"/>
    <x v="0"/>
    <x v="6"/>
    <x v="6"/>
    <x v="6"/>
    <x v="6"/>
    <x v="6"/>
    <x v="6"/>
    <x v="6"/>
    <x v="6"/>
  </r>
  <r>
    <x v="7"/>
    <x v="7"/>
    <x v="7"/>
    <x v="7"/>
    <x v="2"/>
    <x v="3"/>
    <x v="1"/>
    <x v="7"/>
    <x v="7"/>
    <x v="7"/>
    <x v="7"/>
    <x v="7"/>
    <x v="7"/>
    <x v="7"/>
  </r>
  <r>
    <x v="8"/>
    <x v="8"/>
    <x v="8"/>
    <x v="8"/>
    <x v="2"/>
    <x v="1"/>
    <x v="4"/>
    <x v="8"/>
    <x v="8"/>
    <x v="8"/>
    <x v="8"/>
    <x v="8"/>
    <x v="8"/>
    <x v="8"/>
  </r>
  <r>
    <x v="9"/>
    <x v="9"/>
    <x v="9"/>
    <x v="9"/>
    <x v="1"/>
    <x v="0"/>
    <x v="7"/>
    <x v="9"/>
    <x v="9"/>
    <x v="9"/>
    <x v="9"/>
    <x v="9"/>
    <x v="9"/>
    <x v="9"/>
  </r>
  <r>
    <x v="10"/>
    <x v="10"/>
    <x v="10"/>
    <x v="10"/>
    <x v="3"/>
    <x v="1"/>
    <x v="8"/>
    <x v="10"/>
    <x v="10"/>
    <x v="10"/>
    <x v="10"/>
    <x v="10"/>
    <x v="10"/>
    <x v="10"/>
  </r>
  <r>
    <x v="11"/>
    <x v="11"/>
    <x v="11"/>
    <x v="11"/>
    <x v="0"/>
    <x v="0"/>
    <x v="0"/>
    <x v="11"/>
    <x v="11"/>
    <x v="11"/>
    <x v="11"/>
    <x v="11"/>
    <x v="11"/>
    <x v="11"/>
  </r>
  <r>
    <x v="12"/>
    <x v="12"/>
    <x v="12"/>
    <x v="12"/>
    <x v="3"/>
    <x v="2"/>
    <x v="9"/>
    <x v="12"/>
    <x v="12"/>
    <x v="12"/>
    <x v="12"/>
    <x v="12"/>
    <x v="12"/>
    <x v="12"/>
  </r>
  <r>
    <x v="13"/>
    <x v="13"/>
    <x v="13"/>
    <x v="13"/>
    <x v="1"/>
    <x v="1"/>
    <x v="10"/>
    <x v="13"/>
    <x v="13"/>
    <x v="13"/>
    <x v="13"/>
    <x v="13"/>
    <x v="13"/>
    <x v="13"/>
  </r>
  <r>
    <x v="14"/>
    <x v="14"/>
    <x v="14"/>
    <x v="11"/>
    <x v="2"/>
    <x v="1"/>
    <x v="7"/>
    <x v="14"/>
    <x v="14"/>
    <x v="14"/>
    <x v="14"/>
    <x v="14"/>
    <x v="14"/>
    <x v="14"/>
  </r>
  <r>
    <x v="15"/>
    <x v="15"/>
    <x v="15"/>
    <x v="1"/>
    <x v="1"/>
    <x v="2"/>
    <x v="2"/>
    <x v="15"/>
    <x v="15"/>
    <x v="15"/>
    <x v="15"/>
    <x v="15"/>
    <x v="15"/>
    <x v="15"/>
  </r>
  <r>
    <x v="16"/>
    <x v="16"/>
    <x v="16"/>
    <x v="14"/>
    <x v="0"/>
    <x v="1"/>
    <x v="11"/>
    <x v="16"/>
    <x v="16"/>
    <x v="16"/>
    <x v="16"/>
    <x v="16"/>
    <x v="16"/>
    <x v="16"/>
  </r>
  <r>
    <x v="17"/>
    <x v="17"/>
    <x v="17"/>
    <x v="15"/>
    <x v="1"/>
    <x v="3"/>
    <x v="8"/>
    <x v="17"/>
    <x v="17"/>
    <x v="17"/>
    <x v="17"/>
    <x v="17"/>
    <x v="17"/>
    <x v="17"/>
  </r>
  <r>
    <x v="18"/>
    <x v="18"/>
    <x v="18"/>
    <x v="16"/>
    <x v="2"/>
    <x v="1"/>
    <x v="11"/>
    <x v="18"/>
    <x v="18"/>
    <x v="18"/>
    <x v="18"/>
    <x v="18"/>
    <x v="18"/>
    <x v="18"/>
  </r>
  <r>
    <x v="19"/>
    <x v="19"/>
    <x v="19"/>
    <x v="8"/>
    <x v="2"/>
    <x v="0"/>
    <x v="5"/>
    <x v="19"/>
    <x v="19"/>
    <x v="19"/>
    <x v="19"/>
    <x v="19"/>
    <x v="19"/>
    <x v="19"/>
  </r>
  <r>
    <x v="20"/>
    <x v="20"/>
    <x v="20"/>
    <x v="17"/>
    <x v="1"/>
    <x v="0"/>
    <x v="12"/>
    <x v="20"/>
    <x v="20"/>
    <x v="20"/>
    <x v="20"/>
    <x v="20"/>
    <x v="20"/>
    <x v="20"/>
  </r>
  <r>
    <x v="21"/>
    <x v="21"/>
    <x v="21"/>
    <x v="18"/>
    <x v="2"/>
    <x v="1"/>
    <x v="3"/>
    <x v="21"/>
    <x v="21"/>
    <x v="21"/>
    <x v="21"/>
    <x v="21"/>
    <x v="21"/>
    <x v="21"/>
  </r>
  <r>
    <x v="22"/>
    <x v="22"/>
    <x v="22"/>
    <x v="0"/>
    <x v="2"/>
    <x v="2"/>
    <x v="13"/>
    <x v="22"/>
    <x v="22"/>
    <x v="22"/>
    <x v="22"/>
    <x v="22"/>
    <x v="22"/>
    <x v="22"/>
  </r>
  <r>
    <x v="23"/>
    <x v="23"/>
    <x v="23"/>
    <x v="19"/>
    <x v="3"/>
    <x v="1"/>
    <x v="14"/>
    <x v="23"/>
    <x v="23"/>
    <x v="23"/>
    <x v="23"/>
    <x v="23"/>
    <x v="23"/>
    <x v="23"/>
  </r>
  <r>
    <x v="24"/>
    <x v="24"/>
    <x v="24"/>
    <x v="14"/>
    <x v="0"/>
    <x v="2"/>
    <x v="11"/>
    <x v="24"/>
    <x v="24"/>
    <x v="24"/>
    <x v="24"/>
    <x v="24"/>
    <x v="24"/>
    <x v="24"/>
  </r>
  <r>
    <x v="25"/>
    <x v="25"/>
    <x v="25"/>
    <x v="9"/>
    <x v="1"/>
    <x v="3"/>
    <x v="15"/>
    <x v="25"/>
    <x v="25"/>
    <x v="25"/>
    <x v="25"/>
    <x v="25"/>
    <x v="25"/>
    <x v="25"/>
  </r>
  <r>
    <x v="26"/>
    <x v="26"/>
    <x v="26"/>
    <x v="20"/>
    <x v="3"/>
    <x v="1"/>
    <x v="11"/>
    <x v="26"/>
    <x v="26"/>
    <x v="26"/>
    <x v="26"/>
    <x v="26"/>
    <x v="26"/>
    <x v="26"/>
  </r>
  <r>
    <x v="27"/>
    <x v="27"/>
    <x v="27"/>
    <x v="19"/>
    <x v="3"/>
    <x v="1"/>
    <x v="8"/>
    <x v="27"/>
    <x v="27"/>
    <x v="27"/>
    <x v="27"/>
    <x v="27"/>
    <x v="27"/>
    <x v="27"/>
  </r>
  <r>
    <x v="28"/>
    <x v="28"/>
    <x v="28"/>
    <x v="2"/>
    <x v="1"/>
    <x v="1"/>
    <x v="14"/>
    <x v="28"/>
    <x v="28"/>
    <x v="28"/>
    <x v="28"/>
    <x v="28"/>
    <x v="28"/>
    <x v="28"/>
  </r>
  <r>
    <x v="29"/>
    <x v="29"/>
    <x v="29"/>
    <x v="21"/>
    <x v="0"/>
    <x v="1"/>
    <x v="0"/>
    <x v="29"/>
    <x v="29"/>
    <x v="29"/>
    <x v="29"/>
    <x v="29"/>
    <x v="29"/>
    <x v="29"/>
  </r>
  <r>
    <x v="30"/>
    <x v="30"/>
    <x v="30"/>
    <x v="13"/>
    <x v="3"/>
    <x v="0"/>
    <x v="4"/>
    <x v="30"/>
    <x v="30"/>
    <x v="30"/>
    <x v="30"/>
    <x v="30"/>
    <x v="30"/>
    <x v="30"/>
  </r>
  <r>
    <x v="31"/>
    <x v="31"/>
    <x v="31"/>
    <x v="14"/>
    <x v="2"/>
    <x v="3"/>
    <x v="10"/>
    <x v="31"/>
    <x v="31"/>
    <x v="31"/>
    <x v="31"/>
    <x v="31"/>
    <x v="31"/>
    <x v="31"/>
  </r>
  <r>
    <x v="32"/>
    <x v="32"/>
    <x v="32"/>
    <x v="22"/>
    <x v="0"/>
    <x v="2"/>
    <x v="16"/>
    <x v="32"/>
    <x v="32"/>
    <x v="32"/>
    <x v="32"/>
    <x v="32"/>
    <x v="32"/>
    <x v="32"/>
  </r>
  <r>
    <x v="33"/>
    <x v="33"/>
    <x v="33"/>
    <x v="5"/>
    <x v="0"/>
    <x v="2"/>
    <x v="10"/>
    <x v="33"/>
    <x v="33"/>
    <x v="33"/>
    <x v="33"/>
    <x v="33"/>
    <x v="33"/>
    <x v="33"/>
  </r>
  <r>
    <x v="34"/>
    <x v="34"/>
    <x v="34"/>
    <x v="13"/>
    <x v="3"/>
    <x v="2"/>
    <x v="12"/>
    <x v="34"/>
    <x v="34"/>
    <x v="34"/>
    <x v="34"/>
    <x v="34"/>
    <x v="34"/>
    <x v="34"/>
  </r>
  <r>
    <x v="35"/>
    <x v="35"/>
    <x v="35"/>
    <x v="19"/>
    <x v="3"/>
    <x v="1"/>
    <x v="17"/>
    <x v="35"/>
    <x v="35"/>
    <x v="35"/>
    <x v="35"/>
    <x v="35"/>
    <x v="35"/>
    <x v="35"/>
  </r>
  <r>
    <x v="36"/>
    <x v="36"/>
    <x v="36"/>
    <x v="22"/>
    <x v="3"/>
    <x v="3"/>
    <x v="8"/>
    <x v="36"/>
    <x v="36"/>
    <x v="36"/>
    <x v="36"/>
    <x v="36"/>
    <x v="36"/>
    <x v="36"/>
  </r>
  <r>
    <x v="37"/>
    <x v="37"/>
    <x v="37"/>
    <x v="0"/>
    <x v="2"/>
    <x v="0"/>
    <x v="18"/>
    <x v="37"/>
    <x v="37"/>
    <x v="37"/>
    <x v="37"/>
    <x v="37"/>
    <x v="37"/>
    <x v="37"/>
  </r>
  <r>
    <x v="38"/>
    <x v="38"/>
    <x v="38"/>
    <x v="23"/>
    <x v="0"/>
    <x v="0"/>
    <x v="6"/>
    <x v="38"/>
    <x v="38"/>
    <x v="38"/>
    <x v="38"/>
    <x v="38"/>
    <x v="38"/>
    <x v="38"/>
  </r>
  <r>
    <x v="39"/>
    <x v="39"/>
    <x v="39"/>
    <x v="3"/>
    <x v="0"/>
    <x v="0"/>
    <x v="19"/>
    <x v="39"/>
    <x v="39"/>
    <x v="39"/>
    <x v="39"/>
    <x v="39"/>
    <x v="39"/>
    <x v="39"/>
  </r>
  <r>
    <x v="40"/>
    <x v="40"/>
    <x v="40"/>
    <x v="24"/>
    <x v="2"/>
    <x v="2"/>
    <x v="12"/>
    <x v="40"/>
    <x v="40"/>
    <x v="40"/>
    <x v="40"/>
    <x v="40"/>
    <x v="40"/>
    <x v="40"/>
  </r>
  <r>
    <x v="41"/>
    <x v="41"/>
    <x v="41"/>
    <x v="12"/>
    <x v="1"/>
    <x v="0"/>
    <x v="10"/>
    <x v="41"/>
    <x v="41"/>
    <x v="41"/>
    <x v="41"/>
    <x v="41"/>
    <x v="41"/>
    <x v="41"/>
  </r>
  <r>
    <x v="42"/>
    <x v="42"/>
    <x v="42"/>
    <x v="2"/>
    <x v="1"/>
    <x v="3"/>
    <x v="20"/>
    <x v="42"/>
    <x v="42"/>
    <x v="42"/>
    <x v="42"/>
    <x v="42"/>
    <x v="42"/>
    <x v="42"/>
  </r>
  <r>
    <x v="43"/>
    <x v="43"/>
    <x v="43"/>
    <x v="2"/>
    <x v="2"/>
    <x v="1"/>
    <x v="19"/>
    <x v="43"/>
    <x v="43"/>
    <x v="43"/>
    <x v="43"/>
    <x v="43"/>
    <x v="43"/>
    <x v="43"/>
  </r>
  <r>
    <x v="44"/>
    <x v="44"/>
    <x v="44"/>
    <x v="22"/>
    <x v="0"/>
    <x v="0"/>
    <x v="4"/>
    <x v="44"/>
    <x v="44"/>
    <x v="44"/>
    <x v="44"/>
    <x v="44"/>
    <x v="44"/>
    <x v="44"/>
  </r>
  <r>
    <x v="45"/>
    <x v="45"/>
    <x v="45"/>
    <x v="25"/>
    <x v="0"/>
    <x v="3"/>
    <x v="17"/>
    <x v="45"/>
    <x v="45"/>
    <x v="45"/>
    <x v="45"/>
    <x v="45"/>
    <x v="45"/>
    <x v="45"/>
  </r>
  <r>
    <x v="46"/>
    <x v="46"/>
    <x v="46"/>
    <x v="14"/>
    <x v="2"/>
    <x v="2"/>
    <x v="0"/>
    <x v="46"/>
    <x v="46"/>
    <x v="46"/>
    <x v="46"/>
    <x v="46"/>
    <x v="46"/>
    <x v="46"/>
  </r>
  <r>
    <x v="47"/>
    <x v="47"/>
    <x v="47"/>
    <x v="6"/>
    <x v="1"/>
    <x v="2"/>
    <x v="14"/>
    <x v="47"/>
    <x v="47"/>
    <x v="47"/>
    <x v="47"/>
    <x v="47"/>
    <x v="47"/>
    <x v="47"/>
  </r>
  <r>
    <x v="48"/>
    <x v="48"/>
    <x v="48"/>
    <x v="10"/>
    <x v="2"/>
    <x v="1"/>
    <x v="16"/>
    <x v="48"/>
    <x v="48"/>
    <x v="48"/>
    <x v="48"/>
    <x v="48"/>
    <x v="48"/>
    <x v="48"/>
  </r>
  <r>
    <x v="49"/>
    <x v="49"/>
    <x v="49"/>
    <x v="20"/>
    <x v="0"/>
    <x v="2"/>
    <x v="21"/>
    <x v="49"/>
    <x v="49"/>
    <x v="49"/>
    <x v="49"/>
    <x v="49"/>
    <x v="49"/>
    <x v="49"/>
  </r>
  <r>
    <x v="50"/>
    <x v="50"/>
    <x v="50"/>
    <x v="6"/>
    <x v="1"/>
    <x v="1"/>
    <x v="15"/>
    <x v="50"/>
    <x v="50"/>
    <x v="50"/>
    <x v="50"/>
    <x v="50"/>
    <x v="50"/>
    <x v="50"/>
  </r>
  <r>
    <x v="51"/>
    <x v="51"/>
    <x v="51"/>
    <x v="24"/>
    <x v="3"/>
    <x v="2"/>
    <x v="15"/>
    <x v="51"/>
    <x v="51"/>
    <x v="51"/>
    <x v="51"/>
    <x v="51"/>
    <x v="51"/>
    <x v="51"/>
  </r>
  <r>
    <x v="52"/>
    <x v="52"/>
    <x v="52"/>
    <x v="22"/>
    <x v="2"/>
    <x v="2"/>
    <x v="6"/>
    <x v="52"/>
    <x v="52"/>
    <x v="52"/>
    <x v="52"/>
    <x v="52"/>
    <x v="52"/>
    <x v="52"/>
  </r>
  <r>
    <x v="53"/>
    <x v="53"/>
    <x v="53"/>
    <x v="14"/>
    <x v="0"/>
    <x v="3"/>
    <x v="8"/>
    <x v="53"/>
    <x v="53"/>
    <x v="53"/>
    <x v="53"/>
    <x v="53"/>
    <x v="53"/>
    <x v="53"/>
  </r>
  <r>
    <x v="54"/>
    <x v="54"/>
    <x v="54"/>
    <x v="7"/>
    <x v="3"/>
    <x v="3"/>
    <x v="7"/>
    <x v="54"/>
    <x v="54"/>
    <x v="54"/>
    <x v="54"/>
    <x v="54"/>
    <x v="54"/>
    <x v="54"/>
  </r>
  <r>
    <x v="55"/>
    <x v="55"/>
    <x v="55"/>
    <x v="7"/>
    <x v="0"/>
    <x v="0"/>
    <x v="11"/>
    <x v="55"/>
    <x v="55"/>
    <x v="55"/>
    <x v="55"/>
    <x v="55"/>
    <x v="55"/>
    <x v="55"/>
  </r>
  <r>
    <x v="56"/>
    <x v="56"/>
    <x v="56"/>
    <x v="8"/>
    <x v="1"/>
    <x v="2"/>
    <x v="17"/>
    <x v="56"/>
    <x v="56"/>
    <x v="56"/>
    <x v="56"/>
    <x v="56"/>
    <x v="56"/>
    <x v="56"/>
  </r>
  <r>
    <x v="57"/>
    <x v="57"/>
    <x v="57"/>
    <x v="18"/>
    <x v="1"/>
    <x v="0"/>
    <x v="2"/>
    <x v="57"/>
    <x v="57"/>
    <x v="57"/>
    <x v="57"/>
    <x v="57"/>
    <x v="57"/>
    <x v="57"/>
  </r>
  <r>
    <x v="58"/>
    <x v="58"/>
    <x v="58"/>
    <x v="11"/>
    <x v="3"/>
    <x v="1"/>
    <x v="21"/>
    <x v="58"/>
    <x v="58"/>
    <x v="58"/>
    <x v="58"/>
    <x v="58"/>
    <x v="58"/>
    <x v="58"/>
  </r>
  <r>
    <x v="59"/>
    <x v="59"/>
    <x v="59"/>
    <x v="25"/>
    <x v="0"/>
    <x v="3"/>
    <x v="10"/>
    <x v="59"/>
    <x v="59"/>
    <x v="59"/>
    <x v="59"/>
    <x v="59"/>
    <x v="59"/>
    <x v="59"/>
  </r>
  <r>
    <x v="60"/>
    <x v="60"/>
    <x v="60"/>
    <x v="22"/>
    <x v="1"/>
    <x v="0"/>
    <x v="22"/>
    <x v="60"/>
    <x v="60"/>
    <x v="60"/>
    <x v="60"/>
    <x v="60"/>
    <x v="60"/>
    <x v="60"/>
  </r>
  <r>
    <x v="61"/>
    <x v="61"/>
    <x v="61"/>
    <x v="17"/>
    <x v="1"/>
    <x v="2"/>
    <x v="4"/>
    <x v="61"/>
    <x v="61"/>
    <x v="61"/>
    <x v="61"/>
    <x v="61"/>
    <x v="61"/>
    <x v="61"/>
  </r>
  <r>
    <x v="62"/>
    <x v="62"/>
    <x v="62"/>
    <x v="23"/>
    <x v="1"/>
    <x v="2"/>
    <x v="14"/>
    <x v="62"/>
    <x v="62"/>
    <x v="62"/>
    <x v="62"/>
    <x v="62"/>
    <x v="62"/>
    <x v="62"/>
  </r>
  <r>
    <x v="63"/>
    <x v="63"/>
    <x v="63"/>
    <x v="1"/>
    <x v="1"/>
    <x v="2"/>
    <x v="22"/>
    <x v="63"/>
    <x v="63"/>
    <x v="63"/>
    <x v="63"/>
    <x v="63"/>
    <x v="63"/>
    <x v="63"/>
  </r>
  <r>
    <x v="64"/>
    <x v="64"/>
    <x v="64"/>
    <x v="26"/>
    <x v="0"/>
    <x v="0"/>
    <x v="19"/>
    <x v="64"/>
    <x v="64"/>
    <x v="64"/>
    <x v="64"/>
    <x v="64"/>
    <x v="64"/>
    <x v="64"/>
  </r>
  <r>
    <x v="65"/>
    <x v="65"/>
    <x v="65"/>
    <x v="15"/>
    <x v="2"/>
    <x v="3"/>
    <x v="21"/>
    <x v="65"/>
    <x v="65"/>
    <x v="65"/>
    <x v="65"/>
    <x v="65"/>
    <x v="65"/>
    <x v="65"/>
  </r>
  <r>
    <x v="66"/>
    <x v="66"/>
    <x v="66"/>
    <x v="16"/>
    <x v="2"/>
    <x v="3"/>
    <x v="11"/>
    <x v="66"/>
    <x v="66"/>
    <x v="66"/>
    <x v="66"/>
    <x v="66"/>
    <x v="66"/>
    <x v="66"/>
  </r>
  <r>
    <x v="67"/>
    <x v="67"/>
    <x v="67"/>
    <x v="25"/>
    <x v="0"/>
    <x v="2"/>
    <x v="2"/>
    <x v="67"/>
    <x v="67"/>
    <x v="67"/>
    <x v="67"/>
    <x v="67"/>
    <x v="67"/>
    <x v="67"/>
  </r>
  <r>
    <x v="68"/>
    <x v="68"/>
    <x v="68"/>
    <x v="13"/>
    <x v="1"/>
    <x v="3"/>
    <x v="10"/>
    <x v="68"/>
    <x v="68"/>
    <x v="68"/>
    <x v="68"/>
    <x v="68"/>
    <x v="68"/>
    <x v="68"/>
  </r>
  <r>
    <x v="69"/>
    <x v="69"/>
    <x v="69"/>
    <x v="7"/>
    <x v="1"/>
    <x v="0"/>
    <x v="10"/>
    <x v="69"/>
    <x v="69"/>
    <x v="69"/>
    <x v="69"/>
    <x v="69"/>
    <x v="69"/>
    <x v="69"/>
  </r>
  <r>
    <x v="70"/>
    <x v="70"/>
    <x v="70"/>
    <x v="0"/>
    <x v="0"/>
    <x v="2"/>
    <x v="13"/>
    <x v="22"/>
    <x v="70"/>
    <x v="70"/>
    <x v="22"/>
    <x v="70"/>
    <x v="70"/>
    <x v="70"/>
  </r>
  <r>
    <x v="71"/>
    <x v="71"/>
    <x v="71"/>
    <x v="1"/>
    <x v="3"/>
    <x v="0"/>
    <x v="3"/>
    <x v="70"/>
    <x v="71"/>
    <x v="71"/>
    <x v="70"/>
    <x v="71"/>
    <x v="71"/>
    <x v="71"/>
  </r>
  <r>
    <x v="72"/>
    <x v="72"/>
    <x v="72"/>
    <x v="3"/>
    <x v="0"/>
    <x v="0"/>
    <x v="1"/>
    <x v="71"/>
    <x v="72"/>
    <x v="72"/>
    <x v="71"/>
    <x v="72"/>
    <x v="72"/>
    <x v="72"/>
  </r>
  <r>
    <x v="73"/>
    <x v="73"/>
    <x v="73"/>
    <x v="0"/>
    <x v="1"/>
    <x v="0"/>
    <x v="5"/>
    <x v="72"/>
    <x v="73"/>
    <x v="73"/>
    <x v="72"/>
    <x v="73"/>
    <x v="73"/>
    <x v="73"/>
  </r>
  <r>
    <x v="74"/>
    <x v="74"/>
    <x v="74"/>
    <x v="0"/>
    <x v="1"/>
    <x v="1"/>
    <x v="20"/>
    <x v="73"/>
    <x v="74"/>
    <x v="74"/>
    <x v="73"/>
    <x v="74"/>
    <x v="74"/>
    <x v="74"/>
  </r>
  <r>
    <x v="75"/>
    <x v="75"/>
    <x v="75"/>
    <x v="20"/>
    <x v="1"/>
    <x v="0"/>
    <x v="8"/>
    <x v="74"/>
    <x v="75"/>
    <x v="75"/>
    <x v="74"/>
    <x v="75"/>
    <x v="75"/>
    <x v="75"/>
  </r>
  <r>
    <x v="76"/>
    <x v="76"/>
    <x v="76"/>
    <x v="22"/>
    <x v="1"/>
    <x v="3"/>
    <x v="15"/>
    <x v="75"/>
    <x v="76"/>
    <x v="76"/>
    <x v="75"/>
    <x v="76"/>
    <x v="76"/>
    <x v="76"/>
  </r>
  <r>
    <x v="77"/>
    <x v="77"/>
    <x v="77"/>
    <x v="1"/>
    <x v="0"/>
    <x v="2"/>
    <x v="9"/>
    <x v="76"/>
    <x v="77"/>
    <x v="77"/>
    <x v="76"/>
    <x v="77"/>
    <x v="77"/>
    <x v="77"/>
  </r>
  <r>
    <x v="78"/>
    <x v="78"/>
    <x v="78"/>
    <x v="3"/>
    <x v="3"/>
    <x v="1"/>
    <x v="19"/>
    <x v="77"/>
    <x v="78"/>
    <x v="78"/>
    <x v="77"/>
    <x v="78"/>
    <x v="78"/>
    <x v="78"/>
  </r>
  <r>
    <x v="79"/>
    <x v="79"/>
    <x v="79"/>
    <x v="26"/>
    <x v="1"/>
    <x v="1"/>
    <x v="7"/>
    <x v="78"/>
    <x v="79"/>
    <x v="79"/>
    <x v="78"/>
    <x v="79"/>
    <x v="79"/>
    <x v="79"/>
  </r>
  <r>
    <x v="80"/>
    <x v="80"/>
    <x v="80"/>
    <x v="11"/>
    <x v="2"/>
    <x v="3"/>
    <x v="16"/>
    <x v="79"/>
    <x v="80"/>
    <x v="80"/>
    <x v="79"/>
    <x v="80"/>
    <x v="80"/>
    <x v="80"/>
  </r>
  <r>
    <x v="81"/>
    <x v="81"/>
    <x v="81"/>
    <x v="4"/>
    <x v="2"/>
    <x v="2"/>
    <x v="1"/>
    <x v="80"/>
    <x v="81"/>
    <x v="81"/>
    <x v="80"/>
    <x v="81"/>
    <x v="81"/>
    <x v="81"/>
  </r>
  <r>
    <x v="82"/>
    <x v="82"/>
    <x v="82"/>
    <x v="20"/>
    <x v="2"/>
    <x v="2"/>
    <x v="12"/>
    <x v="81"/>
    <x v="82"/>
    <x v="82"/>
    <x v="81"/>
    <x v="82"/>
    <x v="82"/>
    <x v="82"/>
  </r>
  <r>
    <x v="83"/>
    <x v="83"/>
    <x v="83"/>
    <x v="20"/>
    <x v="0"/>
    <x v="0"/>
    <x v="18"/>
    <x v="82"/>
    <x v="83"/>
    <x v="83"/>
    <x v="82"/>
    <x v="83"/>
    <x v="83"/>
    <x v="83"/>
  </r>
  <r>
    <x v="84"/>
    <x v="84"/>
    <x v="84"/>
    <x v="5"/>
    <x v="0"/>
    <x v="3"/>
    <x v="13"/>
    <x v="83"/>
    <x v="84"/>
    <x v="84"/>
    <x v="83"/>
    <x v="84"/>
    <x v="84"/>
    <x v="84"/>
  </r>
  <r>
    <x v="85"/>
    <x v="85"/>
    <x v="85"/>
    <x v="17"/>
    <x v="3"/>
    <x v="3"/>
    <x v="15"/>
    <x v="84"/>
    <x v="85"/>
    <x v="85"/>
    <x v="84"/>
    <x v="85"/>
    <x v="85"/>
    <x v="85"/>
  </r>
  <r>
    <x v="86"/>
    <x v="86"/>
    <x v="86"/>
    <x v="13"/>
    <x v="1"/>
    <x v="1"/>
    <x v="23"/>
    <x v="85"/>
    <x v="86"/>
    <x v="86"/>
    <x v="85"/>
    <x v="86"/>
    <x v="86"/>
    <x v="86"/>
  </r>
  <r>
    <x v="87"/>
    <x v="87"/>
    <x v="87"/>
    <x v="6"/>
    <x v="1"/>
    <x v="0"/>
    <x v="4"/>
    <x v="86"/>
    <x v="87"/>
    <x v="87"/>
    <x v="86"/>
    <x v="87"/>
    <x v="87"/>
    <x v="87"/>
  </r>
  <r>
    <x v="88"/>
    <x v="88"/>
    <x v="88"/>
    <x v="19"/>
    <x v="1"/>
    <x v="2"/>
    <x v="14"/>
    <x v="87"/>
    <x v="88"/>
    <x v="88"/>
    <x v="87"/>
    <x v="88"/>
    <x v="88"/>
    <x v="88"/>
  </r>
  <r>
    <x v="89"/>
    <x v="89"/>
    <x v="89"/>
    <x v="17"/>
    <x v="2"/>
    <x v="2"/>
    <x v="14"/>
    <x v="88"/>
    <x v="89"/>
    <x v="89"/>
    <x v="88"/>
    <x v="89"/>
    <x v="89"/>
    <x v="89"/>
  </r>
  <r>
    <x v="90"/>
    <x v="90"/>
    <x v="90"/>
    <x v="20"/>
    <x v="3"/>
    <x v="3"/>
    <x v="11"/>
    <x v="89"/>
    <x v="90"/>
    <x v="90"/>
    <x v="89"/>
    <x v="90"/>
    <x v="90"/>
    <x v="90"/>
  </r>
  <r>
    <x v="91"/>
    <x v="91"/>
    <x v="91"/>
    <x v="27"/>
    <x v="1"/>
    <x v="0"/>
    <x v="23"/>
    <x v="90"/>
    <x v="91"/>
    <x v="91"/>
    <x v="90"/>
    <x v="91"/>
    <x v="91"/>
    <x v="91"/>
  </r>
  <r>
    <x v="92"/>
    <x v="92"/>
    <x v="92"/>
    <x v="6"/>
    <x v="1"/>
    <x v="3"/>
    <x v="23"/>
    <x v="91"/>
    <x v="92"/>
    <x v="92"/>
    <x v="91"/>
    <x v="92"/>
    <x v="92"/>
    <x v="92"/>
  </r>
  <r>
    <x v="93"/>
    <x v="93"/>
    <x v="93"/>
    <x v="6"/>
    <x v="2"/>
    <x v="3"/>
    <x v="2"/>
    <x v="92"/>
    <x v="93"/>
    <x v="93"/>
    <x v="92"/>
    <x v="93"/>
    <x v="93"/>
    <x v="93"/>
  </r>
  <r>
    <x v="94"/>
    <x v="94"/>
    <x v="94"/>
    <x v="2"/>
    <x v="2"/>
    <x v="0"/>
    <x v="4"/>
    <x v="93"/>
    <x v="94"/>
    <x v="94"/>
    <x v="93"/>
    <x v="94"/>
    <x v="94"/>
    <x v="94"/>
  </r>
  <r>
    <x v="95"/>
    <x v="95"/>
    <x v="95"/>
    <x v="1"/>
    <x v="2"/>
    <x v="1"/>
    <x v="15"/>
    <x v="94"/>
    <x v="95"/>
    <x v="95"/>
    <x v="94"/>
    <x v="95"/>
    <x v="95"/>
    <x v="95"/>
  </r>
  <r>
    <x v="96"/>
    <x v="96"/>
    <x v="96"/>
    <x v="15"/>
    <x v="3"/>
    <x v="2"/>
    <x v="12"/>
    <x v="95"/>
    <x v="96"/>
    <x v="96"/>
    <x v="95"/>
    <x v="96"/>
    <x v="96"/>
    <x v="96"/>
  </r>
  <r>
    <x v="97"/>
    <x v="97"/>
    <x v="97"/>
    <x v="27"/>
    <x v="2"/>
    <x v="0"/>
    <x v="4"/>
    <x v="96"/>
    <x v="97"/>
    <x v="97"/>
    <x v="96"/>
    <x v="97"/>
    <x v="97"/>
    <x v="97"/>
  </r>
  <r>
    <x v="98"/>
    <x v="98"/>
    <x v="98"/>
    <x v="27"/>
    <x v="2"/>
    <x v="3"/>
    <x v="11"/>
    <x v="97"/>
    <x v="98"/>
    <x v="98"/>
    <x v="97"/>
    <x v="98"/>
    <x v="98"/>
    <x v="98"/>
  </r>
  <r>
    <x v="99"/>
    <x v="99"/>
    <x v="99"/>
    <x v="20"/>
    <x v="1"/>
    <x v="1"/>
    <x v="7"/>
    <x v="98"/>
    <x v="99"/>
    <x v="99"/>
    <x v="98"/>
    <x v="99"/>
    <x v="99"/>
    <x v="99"/>
  </r>
  <r>
    <x v="100"/>
    <x v="100"/>
    <x v="100"/>
    <x v="8"/>
    <x v="3"/>
    <x v="3"/>
    <x v="21"/>
    <x v="99"/>
    <x v="100"/>
    <x v="100"/>
    <x v="99"/>
    <x v="100"/>
    <x v="100"/>
    <x v="100"/>
  </r>
  <r>
    <x v="101"/>
    <x v="101"/>
    <x v="101"/>
    <x v="12"/>
    <x v="0"/>
    <x v="0"/>
    <x v="21"/>
    <x v="100"/>
    <x v="101"/>
    <x v="101"/>
    <x v="100"/>
    <x v="101"/>
    <x v="101"/>
    <x v="101"/>
  </r>
  <r>
    <x v="102"/>
    <x v="102"/>
    <x v="102"/>
    <x v="8"/>
    <x v="2"/>
    <x v="2"/>
    <x v="16"/>
    <x v="101"/>
    <x v="102"/>
    <x v="102"/>
    <x v="101"/>
    <x v="102"/>
    <x v="102"/>
    <x v="102"/>
  </r>
  <r>
    <x v="103"/>
    <x v="103"/>
    <x v="103"/>
    <x v="19"/>
    <x v="0"/>
    <x v="1"/>
    <x v="22"/>
    <x v="102"/>
    <x v="103"/>
    <x v="103"/>
    <x v="102"/>
    <x v="103"/>
    <x v="103"/>
    <x v="103"/>
  </r>
  <r>
    <x v="104"/>
    <x v="104"/>
    <x v="104"/>
    <x v="2"/>
    <x v="0"/>
    <x v="3"/>
    <x v="17"/>
    <x v="103"/>
    <x v="104"/>
    <x v="104"/>
    <x v="103"/>
    <x v="104"/>
    <x v="104"/>
    <x v="104"/>
  </r>
  <r>
    <x v="105"/>
    <x v="105"/>
    <x v="105"/>
    <x v="16"/>
    <x v="1"/>
    <x v="2"/>
    <x v="8"/>
    <x v="104"/>
    <x v="105"/>
    <x v="105"/>
    <x v="104"/>
    <x v="105"/>
    <x v="105"/>
    <x v="105"/>
  </r>
  <r>
    <x v="106"/>
    <x v="106"/>
    <x v="106"/>
    <x v="3"/>
    <x v="3"/>
    <x v="3"/>
    <x v="11"/>
    <x v="105"/>
    <x v="106"/>
    <x v="106"/>
    <x v="105"/>
    <x v="106"/>
    <x v="106"/>
    <x v="106"/>
  </r>
  <r>
    <x v="107"/>
    <x v="107"/>
    <x v="107"/>
    <x v="14"/>
    <x v="1"/>
    <x v="0"/>
    <x v="23"/>
    <x v="106"/>
    <x v="107"/>
    <x v="107"/>
    <x v="106"/>
    <x v="107"/>
    <x v="107"/>
    <x v="107"/>
  </r>
  <r>
    <x v="108"/>
    <x v="108"/>
    <x v="108"/>
    <x v="6"/>
    <x v="2"/>
    <x v="3"/>
    <x v="19"/>
    <x v="107"/>
    <x v="108"/>
    <x v="108"/>
    <x v="107"/>
    <x v="108"/>
    <x v="108"/>
    <x v="108"/>
  </r>
  <r>
    <x v="109"/>
    <x v="109"/>
    <x v="109"/>
    <x v="13"/>
    <x v="1"/>
    <x v="0"/>
    <x v="6"/>
    <x v="108"/>
    <x v="109"/>
    <x v="109"/>
    <x v="108"/>
    <x v="109"/>
    <x v="109"/>
    <x v="109"/>
  </r>
  <r>
    <x v="110"/>
    <x v="110"/>
    <x v="110"/>
    <x v="5"/>
    <x v="3"/>
    <x v="0"/>
    <x v="24"/>
    <x v="109"/>
    <x v="110"/>
    <x v="110"/>
    <x v="109"/>
    <x v="110"/>
    <x v="110"/>
    <x v="110"/>
  </r>
  <r>
    <x v="111"/>
    <x v="111"/>
    <x v="111"/>
    <x v="26"/>
    <x v="1"/>
    <x v="1"/>
    <x v="20"/>
    <x v="78"/>
    <x v="111"/>
    <x v="111"/>
    <x v="110"/>
    <x v="111"/>
    <x v="111"/>
    <x v="111"/>
  </r>
  <r>
    <x v="112"/>
    <x v="112"/>
    <x v="112"/>
    <x v="2"/>
    <x v="0"/>
    <x v="3"/>
    <x v="24"/>
    <x v="110"/>
    <x v="112"/>
    <x v="112"/>
    <x v="111"/>
    <x v="112"/>
    <x v="112"/>
    <x v="112"/>
  </r>
  <r>
    <x v="113"/>
    <x v="113"/>
    <x v="113"/>
    <x v="15"/>
    <x v="1"/>
    <x v="1"/>
    <x v="5"/>
    <x v="111"/>
    <x v="113"/>
    <x v="113"/>
    <x v="112"/>
    <x v="113"/>
    <x v="113"/>
    <x v="113"/>
  </r>
  <r>
    <x v="114"/>
    <x v="114"/>
    <x v="114"/>
    <x v="0"/>
    <x v="1"/>
    <x v="3"/>
    <x v="16"/>
    <x v="112"/>
    <x v="114"/>
    <x v="114"/>
    <x v="113"/>
    <x v="114"/>
    <x v="114"/>
    <x v="114"/>
  </r>
  <r>
    <x v="115"/>
    <x v="115"/>
    <x v="115"/>
    <x v="12"/>
    <x v="0"/>
    <x v="3"/>
    <x v="19"/>
    <x v="113"/>
    <x v="115"/>
    <x v="115"/>
    <x v="114"/>
    <x v="115"/>
    <x v="115"/>
    <x v="115"/>
  </r>
  <r>
    <x v="116"/>
    <x v="116"/>
    <x v="116"/>
    <x v="18"/>
    <x v="2"/>
    <x v="3"/>
    <x v="2"/>
    <x v="114"/>
    <x v="116"/>
    <x v="116"/>
    <x v="115"/>
    <x v="116"/>
    <x v="116"/>
    <x v="116"/>
  </r>
  <r>
    <x v="117"/>
    <x v="117"/>
    <x v="117"/>
    <x v="1"/>
    <x v="0"/>
    <x v="3"/>
    <x v="3"/>
    <x v="115"/>
    <x v="117"/>
    <x v="117"/>
    <x v="116"/>
    <x v="117"/>
    <x v="117"/>
    <x v="117"/>
  </r>
  <r>
    <x v="118"/>
    <x v="118"/>
    <x v="118"/>
    <x v="6"/>
    <x v="2"/>
    <x v="2"/>
    <x v="6"/>
    <x v="116"/>
    <x v="118"/>
    <x v="118"/>
    <x v="117"/>
    <x v="118"/>
    <x v="118"/>
    <x v="118"/>
  </r>
  <r>
    <x v="119"/>
    <x v="119"/>
    <x v="119"/>
    <x v="24"/>
    <x v="2"/>
    <x v="2"/>
    <x v="18"/>
    <x v="117"/>
    <x v="119"/>
    <x v="119"/>
    <x v="118"/>
    <x v="119"/>
    <x v="119"/>
    <x v="119"/>
  </r>
  <r>
    <x v="120"/>
    <x v="120"/>
    <x v="120"/>
    <x v="16"/>
    <x v="3"/>
    <x v="3"/>
    <x v="3"/>
    <x v="118"/>
    <x v="120"/>
    <x v="120"/>
    <x v="119"/>
    <x v="120"/>
    <x v="120"/>
    <x v="120"/>
  </r>
  <r>
    <x v="121"/>
    <x v="121"/>
    <x v="121"/>
    <x v="22"/>
    <x v="2"/>
    <x v="3"/>
    <x v="1"/>
    <x v="119"/>
    <x v="121"/>
    <x v="121"/>
    <x v="120"/>
    <x v="121"/>
    <x v="121"/>
    <x v="121"/>
  </r>
  <r>
    <x v="122"/>
    <x v="122"/>
    <x v="122"/>
    <x v="19"/>
    <x v="3"/>
    <x v="1"/>
    <x v="15"/>
    <x v="120"/>
    <x v="122"/>
    <x v="122"/>
    <x v="121"/>
    <x v="122"/>
    <x v="122"/>
    <x v="122"/>
  </r>
  <r>
    <x v="123"/>
    <x v="123"/>
    <x v="123"/>
    <x v="5"/>
    <x v="1"/>
    <x v="3"/>
    <x v="12"/>
    <x v="121"/>
    <x v="123"/>
    <x v="123"/>
    <x v="122"/>
    <x v="123"/>
    <x v="123"/>
    <x v="123"/>
  </r>
  <r>
    <x v="124"/>
    <x v="124"/>
    <x v="124"/>
    <x v="21"/>
    <x v="0"/>
    <x v="1"/>
    <x v="13"/>
    <x v="122"/>
    <x v="124"/>
    <x v="124"/>
    <x v="123"/>
    <x v="124"/>
    <x v="124"/>
    <x v="124"/>
  </r>
  <r>
    <x v="125"/>
    <x v="125"/>
    <x v="125"/>
    <x v="18"/>
    <x v="0"/>
    <x v="2"/>
    <x v="13"/>
    <x v="123"/>
    <x v="125"/>
    <x v="125"/>
    <x v="124"/>
    <x v="125"/>
    <x v="125"/>
    <x v="125"/>
  </r>
  <r>
    <x v="126"/>
    <x v="126"/>
    <x v="126"/>
    <x v="28"/>
    <x v="3"/>
    <x v="3"/>
    <x v="13"/>
    <x v="124"/>
    <x v="126"/>
    <x v="126"/>
    <x v="125"/>
    <x v="126"/>
    <x v="126"/>
    <x v="126"/>
  </r>
  <r>
    <x v="127"/>
    <x v="127"/>
    <x v="127"/>
    <x v="26"/>
    <x v="1"/>
    <x v="2"/>
    <x v="3"/>
    <x v="125"/>
    <x v="127"/>
    <x v="127"/>
    <x v="126"/>
    <x v="127"/>
    <x v="127"/>
    <x v="127"/>
  </r>
  <r>
    <x v="128"/>
    <x v="128"/>
    <x v="128"/>
    <x v="25"/>
    <x v="1"/>
    <x v="3"/>
    <x v="24"/>
    <x v="126"/>
    <x v="128"/>
    <x v="128"/>
    <x v="127"/>
    <x v="128"/>
    <x v="128"/>
    <x v="128"/>
  </r>
  <r>
    <x v="129"/>
    <x v="129"/>
    <x v="129"/>
    <x v="22"/>
    <x v="0"/>
    <x v="1"/>
    <x v="22"/>
    <x v="127"/>
    <x v="129"/>
    <x v="129"/>
    <x v="128"/>
    <x v="129"/>
    <x v="129"/>
    <x v="129"/>
  </r>
  <r>
    <x v="130"/>
    <x v="130"/>
    <x v="130"/>
    <x v="7"/>
    <x v="0"/>
    <x v="2"/>
    <x v="18"/>
    <x v="128"/>
    <x v="130"/>
    <x v="130"/>
    <x v="129"/>
    <x v="130"/>
    <x v="130"/>
    <x v="130"/>
  </r>
  <r>
    <x v="131"/>
    <x v="131"/>
    <x v="131"/>
    <x v="4"/>
    <x v="2"/>
    <x v="1"/>
    <x v="0"/>
    <x v="129"/>
    <x v="131"/>
    <x v="131"/>
    <x v="130"/>
    <x v="131"/>
    <x v="131"/>
    <x v="131"/>
  </r>
  <r>
    <x v="132"/>
    <x v="132"/>
    <x v="132"/>
    <x v="12"/>
    <x v="2"/>
    <x v="2"/>
    <x v="17"/>
    <x v="130"/>
    <x v="132"/>
    <x v="132"/>
    <x v="131"/>
    <x v="132"/>
    <x v="132"/>
    <x v="132"/>
  </r>
  <r>
    <x v="133"/>
    <x v="133"/>
    <x v="133"/>
    <x v="17"/>
    <x v="1"/>
    <x v="3"/>
    <x v="19"/>
    <x v="131"/>
    <x v="133"/>
    <x v="133"/>
    <x v="132"/>
    <x v="133"/>
    <x v="133"/>
    <x v="133"/>
  </r>
  <r>
    <x v="134"/>
    <x v="134"/>
    <x v="134"/>
    <x v="15"/>
    <x v="2"/>
    <x v="3"/>
    <x v="25"/>
    <x v="132"/>
    <x v="134"/>
    <x v="134"/>
    <x v="133"/>
    <x v="134"/>
    <x v="134"/>
    <x v="134"/>
  </r>
  <r>
    <x v="135"/>
    <x v="135"/>
    <x v="135"/>
    <x v="5"/>
    <x v="0"/>
    <x v="3"/>
    <x v="22"/>
    <x v="133"/>
    <x v="135"/>
    <x v="135"/>
    <x v="134"/>
    <x v="135"/>
    <x v="135"/>
    <x v="135"/>
  </r>
  <r>
    <x v="136"/>
    <x v="136"/>
    <x v="136"/>
    <x v="6"/>
    <x v="3"/>
    <x v="3"/>
    <x v="17"/>
    <x v="134"/>
    <x v="136"/>
    <x v="136"/>
    <x v="135"/>
    <x v="136"/>
    <x v="136"/>
    <x v="136"/>
  </r>
  <r>
    <x v="137"/>
    <x v="137"/>
    <x v="137"/>
    <x v="1"/>
    <x v="1"/>
    <x v="0"/>
    <x v="20"/>
    <x v="135"/>
    <x v="137"/>
    <x v="137"/>
    <x v="136"/>
    <x v="137"/>
    <x v="137"/>
    <x v="137"/>
  </r>
  <r>
    <x v="138"/>
    <x v="138"/>
    <x v="138"/>
    <x v="9"/>
    <x v="3"/>
    <x v="2"/>
    <x v="0"/>
    <x v="136"/>
    <x v="138"/>
    <x v="138"/>
    <x v="137"/>
    <x v="138"/>
    <x v="138"/>
    <x v="138"/>
  </r>
  <r>
    <x v="139"/>
    <x v="139"/>
    <x v="139"/>
    <x v="20"/>
    <x v="3"/>
    <x v="0"/>
    <x v="11"/>
    <x v="137"/>
    <x v="139"/>
    <x v="139"/>
    <x v="138"/>
    <x v="139"/>
    <x v="139"/>
    <x v="139"/>
  </r>
  <r>
    <x v="140"/>
    <x v="140"/>
    <x v="140"/>
    <x v="18"/>
    <x v="1"/>
    <x v="2"/>
    <x v="22"/>
    <x v="138"/>
    <x v="140"/>
    <x v="140"/>
    <x v="139"/>
    <x v="140"/>
    <x v="140"/>
    <x v="140"/>
  </r>
  <r>
    <x v="141"/>
    <x v="141"/>
    <x v="141"/>
    <x v="0"/>
    <x v="2"/>
    <x v="2"/>
    <x v="17"/>
    <x v="139"/>
    <x v="141"/>
    <x v="141"/>
    <x v="140"/>
    <x v="141"/>
    <x v="141"/>
    <x v="141"/>
  </r>
  <r>
    <x v="142"/>
    <x v="142"/>
    <x v="142"/>
    <x v="16"/>
    <x v="2"/>
    <x v="0"/>
    <x v="11"/>
    <x v="140"/>
    <x v="142"/>
    <x v="142"/>
    <x v="141"/>
    <x v="142"/>
    <x v="142"/>
    <x v="142"/>
  </r>
  <r>
    <x v="143"/>
    <x v="143"/>
    <x v="143"/>
    <x v="1"/>
    <x v="0"/>
    <x v="0"/>
    <x v="2"/>
    <x v="141"/>
    <x v="143"/>
    <x v="143"/>
    <x v="142"/>
    <x v="143"/>
    <x v="143"/>
    <x v="143"/>
  </r>
  <r>
    <x v="144"/>
    <x v="144"/>
    <x v="144"/>
    <x v="15"/>
    <x v="0"/>
    <x v="1"/>
    <x v="12"/>
    <x v="142"/>
    <x v="144"/>
    <x v="144"/>
    <x v="143"/>
    <x v="144"/>
    <x v="144"/>
    <x v="144"/>
  </r>
  <r>
    <x v="145"/>
    <x v="145"/>
    <x v="145"/>
    <x v="6"/>
    <x v="1"/>
    <x v="2"/>
    <x v="21"/>
    <x v="143"/>
    <x v="145"/>
    <x v="145"/>
    <x v="144"/>
    <x v="145"/>
    <x v="145"/>
    <x v="145"/>
  </r>
  <r>
    <x v="146"/>
    <x v="146"/>
    <x v="146"/>
    <x v="0"/>
    <x v="1"/>
    <x v="2"/>
    <x v="11"/>
    <x v="144"/>
    <x v="146"/>
    <x v="146"/>
    <x v="145"/>
    <x v="146"/>
    <x v="146"/>
    <x v="146"/>
  </r>
  <r>
    <x v="147"/>
    <x v="147"/>
    <x v="147"/>
    <x v="21"/>
    <x v="0"/>
    <x v="3"/>
    <x v="25"/>
    <x v="145"/>
    <x v="147"/>
    <x v="147"/>
    <x v="133"/>
    <x v="134"/>
    <x v="134"/>
    <x v="134"/>
  </r>
  <r>
    <x v="148"/>
    <x v="148"/>
    <x v="148"/>
    <x v="13"/>
    <x v="0"/>
    <x v="2"/>
    <x v="23"/>
    <x v="146"/>
    <x v="148"/>
    <x v="148"/>
    <x v="146"/>
    <x v="147"/>
    <x v="147"/>
    <x v="147"/>
  </r>
  <r>
    <x v="149"/>
    <x v="149"/>
    <x v="149"/>
    <x v="29"/>
    <x v="1"/>
    <x v="1"/>
    <x v="25"/>
    <x v="132"/>
    <x v="149"/>
    <x v="149"/>
    <x v="133"/>
    <x v="134"/>
    <x v="134"/>
    <x v="134"/>
  </r>
  <r>
    <x v="150"/>
    <x v="150"/>
    <x v="150"/>
    <x v="0"/>
    <x v="3"/>
    <x v="3"/>
    <x v="7"/>
    <x v="147"/>
    <x v="150"/>
    <x v="150"/>
    <x v="147"/>
    <x v="148"/>
    <x v="148"/>
    <x v="148"/>
  </r>
  <r>
    <x v="151"/>
    <x v="151"/>
    <x v="151"/>
    <x v="28"/>
    <x v="2"/>
    <x v="0"/>
    <x v="22"/>
    <x v="148"/>
    <x v="151"/>
    <x v="151"/>
    <x v="148"/>
    <x v="149"/>
    <x v="149"/>
    <x v="149"/>
  </r>
  <r>
    <x v="152"/>
    <x v="152"/>
    <x v="152"/>
    <x v="8"/>
    <x v="3"/>
    <x v="2"/>
    <x v="25"/>
    <x v="149"/>
    <x v="152"/>
    <x v="152"/>
    <x v="133"/>
    <x v="134"/>
    <x v="134"/>
    <x v="134"/>
  </r>
  <r>
    <x v="153"/>
    <x v="153"/>
    <x v="153"/>
    <x v="15"/>
    <x v="3"/>
    <x v="0"/>
    <x v="20"/>
    <x v="150"/>
    <x v="153"/>
    <x v="153"/>
    <x v="149"/>
    <x v="150"/>
    <x v="150"/>
    <x v="150"/>
  </r>
  <r>
    <x v="154"/>
    <x v="154"/>
    <x v="154"/>
    <x v="1"/>
    <x v="0"/>
    <x v="0"/>
    <x v="23"/>
    <x v="151"/>
    <x v="154"/>
    <x v="154"/>
    <x v="150"/>
    <x v="151"/>
    <x v="151"/>
    <x v="151"/>
  </r>
  <r>
    <x v="155"/>
    <x v="155"/>
    <x v="155"/>
    <x v="14"/>
    <x v="3"/>
    <x v="0"/>
    <x v="0"/>
    <x v="152"/>
    <x v="149"/>
    <x v="155"/>
    <x v="151"/>
    <x v="152"/>
    <x v="152"/>
    <x v="152"/>
  </r>
  <r>
    <x v="156"/>
    <x v="156"/>
    <x v="156"/>
    <x v="11"/>
    <x v="2"/>
    <x v="0"/>
    <x v="19"/>
    <x v="153"/>
    <x v="155"/>
    <x v="156"/>
    <x v="152"/>
    <x v="153"/>
    <x v="153"/>
    <x v="153"/>
  </r>
  <r>
    <x v="157"/>
    <x v="157"/>
    <x v="157"/>
    <x v="13"/>
    <x v="1"/>
    <x v="0"/>
    <x v="3"/>
    <x v="154"/>
    <x v="156"/>
    <x v="157"/>
    <x v="153"/>
    <x v="154"/>
    <x v="154"/>
    <x v="154"/>
  </r>
  <r>
    <x v="158"/>
    <x v="158"/>
    <x v="158"/>
    <x v="7"/>
    <x v="1"/>
    <x v="1"/>
    <x v="8"/>
    <x v="155"/>
    <x v="157"/>
    <x v="158"/>
    <x v="154"/>
    <x v="155"/>
    <x v="155"/>
    <x v="155"/>
  </r>
  <r>
    <x v="159"/>
    <x v="159"/>
    <x v="159"/>
    <x v="6"/>
    <x v="3"/>
    <x v="2"/>
    <x v="9"/>
    <x v="156"/>
    <x v="158"/>
    <x v="159"/>
    <x v="155"/>
    <x v="156"/>
    <x v="156"/>
    <x v="156"/>
  </r>
  <r>
    <x v="160"/>
    <x v="160"/>
    <x v="160"/>
    <x v="11"/>
    <x v="3"/>
    <x v="0"/>
    <x v="14"/>
    <x v="157"/>
    <x v="159"/>
    <x v="160"/>
    <x v="156"/>
    <x v="157"/>
    <x v="157"/>
    <x v="157"/>
  </r>
  <r>
    <x v="161"/>
    <x v="161"/>
    <x v="161"/>
    <x v="12"/>
    <x v="0"/>
    <x v="3"/>
    <x v="7"/>
    <x v="158"/>
    <x v="160"/>
    <x v="161"/>
    <x v="157"/>
    <x v="158"/>
    <x v="158"/>
    <x v="158"/>
  </r>
  <r>
    <x v="162"/>
    <x v="162"/>
    <x v="162"/>
    <x v="17"/>
    <x v="3"/>
    <x v="0"/>
    <x v="25"/>
    <x v="159"/>
    <x v="161"/>
    <x v="30"/>
    <x v="133"/>
    <x v="134"/>
    <x v="134"/>
    <x v="134"/>
  </r>
  <r>
    <x v="163"/>
    <x v="163"/>
    <x v="163"/>
    <x v="17"/>
    <x v="0"/>
    <x v="1"/>
    <x v="6"/>
    <x v="160"/>
    <x v="162"/>
    <x v="162"/>
    <x v="158"/>
    <x v="159"/>
    <x v="159"/>
    <x v="159"/>
  </r>
  <r>
    <x v="164"/>
    <x v="164"/>
    <x v="164"/>
    <x v="22"/>
    <x v="3"/>
    <x v="1"/>
    <x v="17"/>
    <x v="161"/>
    <x v="163"/>
    <x v="163"/>
    <x v="159"/>
    <x v="160"/>
    <x v="160"/>
    <x v="160"/>
  </r>
  <r>
    <x v="165"/>
    <x v="165"/>
    <x v="165"/>
    <x v="5"/>
    <x v="2"/>
    <x v="2"/>
    <x v="5"/>
    <x v="162"/>
    <x v="164"/>
    <x v="164"/>
    <x v="160"/>
    <x v="161"/>
    <x v="161"/>
    <x v="161"/>
  </r>
  <r>
    <x v="166"/>
    <x v="166"/>
    <x v="166"/>
    <x v="12"/>
    <x v="3"/>
    <x v="2"/>
    <x v="14"/>
    <x v="163"/>
    <x v="165"/>
    <x v="165"/>
    <x v="161"/>
    <x v="162"/>
    <x v="162"/>
    <x v="162"/>
  </r>
  <r>
    <x v="167"/>
    <x v="167"/>
    <x v="167"/>
    <x v="23"/>
    <x v="0"/>
    <x v="2"/>
    <x v="1"/>
    <x v="164"/>
    <x v="166"/>
    <x v="166"/>
    <x v="162"/>
    <x v="163"/>
    <x v="163"/>
    <x v="163"/>
  </r>
  <r>
    <x v="168"/>
    <x v="168"/>
    <x v="168"/>
    <x v="0"/>
    <x v="3"/>
    <x v="1"/>
    <x v="25"/>
    <x v="165"/>
    <x v="167"/>
    <x v="167"/>
    <x v="133"/>
    <x v="134"/>
    <x v="134"/>
    <x v="134"/>
  </r>
  <r>
    <x v="169"/>
    <x v="169"/>
    <x v="169"/>
    <x v="2"/>
    <x v="0"/>
    <x v="0"/>
    <x v="24"/>
    <x v="166"/>
    <x v="168"/>
    <x v="168"/>
    <x v="163"/>
    <x v="164"/>
    <x v="164"/>
    <x v="164"/>
  </r>
  <r>
    <x v="170"/>
    <x v="170"/>
    <x v="170"/>
    <x v="28"/>
    <x v="0"/>
    <x v="3"/>
    <x v="10"/>
    <x v="167"/>
    <x v="169"/>
    <x v="169"/>
    <x v="164"/>
    <x v="165"/>
    <x v="165"/>
    <x v="165"/>
  </r>
  <r>
    <x v="171"/>
    <x v="171"/>
    <x v="171"/>
    <x v="1"/>
    <x v="3"/>
    <x v="1"/>
    <x v="24"/>
    <x v="168"/>
    <x v="170"/>
    <x v="170"/>
    <x v="165"/>
    <x v="166"/>
    <x v="166"/>
    <x v="166"/>
  </r>
  <r>
    <x v="172"/>
    <x v="172"/>
    <x v="172"/>
    <x v="15"/>
    <x v="3"/>
    <x v="2"/>
    <x v="19"/>
    <x v="169"/>
    <x v="171"/>
    <x v="171"/>
    <x v="166"/>
    <x v="167"/>
    <x v="167"/>
    <x v="167"/>
  </r>
  <r>
    <x v="173"/>
    <x v="173"/>
    <x v="173"/>
    <x v="15"/>
    <x v="0"/>
    <x v="0"/>
    <x v="24"/>
    <x v="170"/>
    <x v="172"/>
    <x v="172"/>
    <x v="167"/>
    <x v="168"/>
    <x v="168"/>
    <x v="168"/>
  </r>
  <r>
    <x v="174"/>
    <x v="174"/>
    <x v="174"/>
    <x v="17"/>
    <x v="0"/>
    <x v="1"/>
    <x v="10"/>
    <x v="171"/>
    <x v="173"/>
    <x v="173"/>
    <x v="168"/>
    <x v="169"/>
    <x v="169"/>
    <x v="169"/>
  </r>
  <r>
    <x v="175"/>
    <x v="175"/>
    <x v="175"/>
    <x v="24"/>
    <x v="3"/>
    <x v="2"/>
    <x v="11"/>
    <x v="172"/>
    <x v="174"/>
    <x v="174"/>
    <x v="169"/>
    <x v="170"/>
    <x v="170"/>
    <x v="170"/>
  </r>
  <r>
    <x v="176"/>
    <x v="176"/>
    <x v="175"/>
    <x v="24"/>
    <x v="3"/>
    <x v="2"/>
    <x v="11"/>
    <x v="172"/>
    <x v="174"/>
    <x v="174"/>
    <x v="169"/>
    <x v="170"/>
    <x v="170"/>
    <x v="170"/>
  </r>
  <r>
    <x v="177"/>
    <x v="177"/>
    <x v="176"/>
    <x v="4"/>
    <x v="3"/>
    <x v="0"/>
    <x v="17"/>
    <x v="173"/>
    <x v="175"/>
    <x v="175"/>
    <x v="170"/>
    <x v="171"/>
    <x v="171"/>
    <x v="171"/>
  </r>
  <r>
    <x v="178"/>
    <x v="178"/>
    <x v="177"/>
    <x v="4"/>
    <x v="0"/>
    <x v="2"/>
    <x v="11"/>
    <x v="174"/>
    <x v="176"/>
    <x v="176"/>
    <x v="171"/>
    <x v="172"/>
    <x v="172"/>
    <x v="172"/>
  </r>
  <r>
    <x v="179"/>
    <x v="179"/>
    <x v="178"/>
    <x v="10"/>
    <x v="3"/>
    <x v="1"/>
    <x v="14"/>
    <x v="175"/>
    <x v="177"/>
    <x v="177"/>
    <x v="172"/>
    <x v="173"/>
    <x v="173"/>
    <x v="173"/>
  </r>
  <r>
    <x v="180"/>
    <x v="180"/>
    <x v="179"/>
    <x v="14"/>
    <x v="2"/>
    <x v="2"/>
    <x v="16"/>
    <x v="176"/>
    <x v="178"/>
    <x v="178"/>
    <x v="173"/>
    <x v="174"/>
    <x v="174"/>
    <x v="174"/>
  </r>
  <r>
    <x v="181"/>
    <x v="181"/>
    <x v="180"/>
    <x v="24"/>
    <x v="0"/>
    <x v="2"/>
    <x v="11"/>
    <x v="177"/>
    <x v="179"/>
    <x v="179"/>
    <x v="174"/>
    <x v="175"/>
    <x v="175"/>
    <x v="175"/>
  </r>
  <r>
    <x v="182"/>
    <x v="182"/>
    <x v="181"/>
    <x v="12"/>
    <x v="2"/>
    <x v="0"/>
    <x v="10"/>
    <x v="178"/>
    <x v="180"/>
    <x v="180"/>
    <x v="175"/>
    <x v="176"/>
    <x v="176"/>
    <x v="176"/>
  </r>
  <r>
    <x v="183"/>
    <x v="183"/>
    <x v="182"/>
    <x v="19"/>
    <x v="1"/>
    <x v="2"/>
    <x v="22"/>
    <x v="179"/>
    <x v="181"/>
    <x v="181"/>
    <x v="176"/>
    <x v="177"/>
    <x v="177"/>
    <x v="177"/>
  </r>
  <r>
    <x v="184"/>
    <x v="184"/>
    <x v="183"/>
    <x v="18"/>
    <x v="0"/>
    <x v="3"/>
    <x v="16"/>
    <x v="180"/>
    <x v="182"/>
    <x v="182"/>
    <x v="177"/>
    <x v="178"/>
    <x v="178"/>
    <x v="178"/>
  </r>
  <r>
    <x v="185"/>
    <x v="185"/>
    <x v="184"/>
    <x v="5"/>
    <x v="0"/>
    <x v="0"/>
    <x v="7"/>
    <x v="181"/>
    <x v="183"/>
    <x v="183"/>
    <x v="178"/>
    <x v="179"/>
    <x v="179"/>
    <x v="179"/>
  </r>
  <r>
    <x v="186"/>
    <x v="186"/>
    <x v="185"/>
    <x v="18"/>
    <x v="0"/>
    <x v="0"/>
    <x v="9"/>
    <x v="182"/>
    <x v="184"/>
    <x v="184"/>
    <x v="179"/>
    <x v="180"/>
    <x v="180"/>
    <x v="180"/>
  </r>
  <r>
    <x v="187"/>
    <x v="187"/>
    <x v="186"/>
    <x v="3"/>
    <x v="2"/>
    <x v="3"/>
    <x v="23"/>
    <x v="183"/>
    <x v="185"/>
    <x v="185"/>
    <x v="180"/>
    <x v="181"/>
    <x v="181"/>
    <x v="181"/>
  </r>
  <r>
    <x v="188"/>
    <x v="188"/>
    <x v="187"/>
    <x v="4"/>
    <x v="3"/>
    <x v="1"/>
    <x v="23"/>
    <x v="184"/>
    <x v="186"/>
    <x v="186"/>
    <x v="181"/>
    <x v="182"/>
    <x v="182"/>
    <x v="182"/>
  </r>
  <r>
    <x v="189"/>
    <x v="189"/>
    <x v="188"/>
    <x v="26"/>
    <x v="0"/>
    <x v="2"/>
    <x v="0"/>
    <x v="185"/>
    <x v="187"/>
    <x v="187"/>
    <x v="182"/>
    <x v="183"/>
    <x v="183"/>
    <x v="183"/>
  </r>
  <r>
    <x v="190"/>
    <x v="190"/>
    <x v="188"/>
    <x v="26"/>
    <x v="0"/>
    <x v="2"/>
    <x v="0"/>
    <x v="185"/>
    <x v="187"/>
    <x v="187"/>
    <x v="182"/>
    <x v="183"/>
    <x v="183"/>
    <x v="183"/>
  </r>
  <r>
    <x v="191"/>
    <x v="191"/>
    <x v="189"/>
    <x v="7"/>
    <x v="1"/>
    <x v="2"/>
    <x v="22"/>
    <x v="186"/>
    <x v="188"/>
    <x v="188"/>
    <x v="183"/>
    <x v="184"/>
    <x v="184"/>
    <x v="184"/>
  </r>
  <r>
    <x v="192"/>
    <x v="192"/>
    <x v="190"/>
    <x v="20"/>
    <x v="3"/>
    <x v="2"/>
    <x v="8"/>
    <x v="187"/>
    <x v="156"/>
    <x v="189"/>
    <x v="184"/>
    <x v="185"/>
    <x v="185"/>
    <x v="185"/>
  </r>
  <r>
    <x v="193"/>
    <x v="193"/>
    <x v="191"/>
    <x v="6"/>
    <x v="1"/>
    <x v="0"/>
    <x v="12"/>
    <x v="188"/>
    <x v="189"/>
    <x v="190"/>
    <x v="185"/>
    <x v="186"/>
    <x v="186"/>
    <x v="186"/>
  </r>
  <r>
    <x v="194"/>
    <x v="194"/>
    <x v="192"/>
    <x v="15"/>
    <x v="0"/>
    <x v="0"/>
    <x v="3"/>
    <x v="189"/>
    <x v="190"/>
    <x v="191"/>
    <x v="186"/>
    <x v="187"/>
    <x v="187"/>
    <x v="187"/>
  </r>
  <r>
    <x v="195"/>
    <x v="195"/>
    <x v="193"/>
    <x v="9"/>
    <x v="2"/>
    <x v="0"/>
    <x v="19"/>
    <x v="190"/>
    <x v="191"/>
    <x v="192"/>
    <x v="187"/>
    <x v="188"/>
    <x v="188"/>
    <x v="188"/>
  </r>
  <r>
    <x v="196"/>
    <x v="196"/>
    <x v="194"/>
    <x v="16"/>
    <x v="2"/>
    <x v="0"/>
    <x v="25"/>
    <x v="191"/>
    <x v="192"/>
    <x v="193"/>
    <x v="133"/>
    <x v="134"/>
    <x v="134"/>
    <x v="134"/>
  </r>
  <r>
    <x v="197"/>
    <x v="197"/>
    <x v="195"/>
    <x v="4"/>
    <x v="3"/>
    <x v="3"/>
    <x v="11"/>
    <x v="192"/>
    <x v="193"/>
    <x v="194"/>
    <x v="188"/>
    <x v="189"/>
    <x v="189"/>
    <x v="189"/>
  </r>
  <r>
    <x v="198"/>
    <x v="198"/>
    <x v="196"/>
    <x v="3"/>
    <x v="3"/>
    <x v="3"/>
    <x v="17"/>
    <x v="193"/>
    <x v="194"/>
    <x v="195"/>
    <x v="189"/>
    <x v="190"/>
    <x v="190"/>
    <x v="190"/>
  </r>
  <r>
    <x v="199"/>
    <x v="199"/>
    <x v="197"/>
    <x v="24"/>
    <x v="0"/>
    <x v="1"/>
    <x v="12"/>
    <x v="194"/>
    <x v="195"/>
    <x v="196"/>
    <x v="190"/>
    <x v="191"/>
    <x v="191"/>
    <x v="191"/>
  </r>
  <r>
    <x v="200"/>
    <x v="200"/>
    <x v="198"/>
    <x v="14"/>
    <x v="1"/>
    <x v="1"/>
    <x v="0"/>
    <x v="195"/>
    <x v="196"/>
    <x v="197"/>
    <x v="191"/>
    <x v="192"/>
    <x v="192"/>
    <x v="192"/>
  </r>
  <r>
    <x v="201"/>
    <x v="201"/>
    <x v="199"/>
    <x v="1"/>
    <x v="2"/>
    <x v="2"/>
    <x v="19"/>
    <x v="196"/>
    <x v="197"/>
    <x v="198"/>
    <x v="192"/>
    <x v="193"/>
    <x v="193"/>
    <x v="193"/>
  </r>
  <r>
    <x v="202"/>
    <x v="202"/>
    <x v="200"/>
    <x v="19"/>
    <x v="3"/>
    <x v="1"/>
    <x v="4"/>
    <x v="197"/>
    <x v="198"/>
    <x v="199"/>
    <x v="193"/>
    <x v="194"/>
    <x v="194"/>
    <x v="1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3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0"/>
  </r>
  <r>
    <x v="2"/>
    <x v="2"/>
    <x v="2"/>
    <x v="2"/>
    <x v="2"/>
    <x v="2"/>
    <x v="2"/>
    <x v="2"/>
    <x v="2"/>
    <x v="2"/>
    <x v="2"/>
    <x v="2"/>
    <x v="2"/>
    <x v="2"/>
    <x v="1"/>
  </r>
  <r>
    <x v="3"/>
    <x v="3"/>
    <x v="3"/>
    <x v="3"/>
    <x v="0"/>
    <x v="2"/>
    <x v="3"/>
    <x v="3"/>
    <x v="3"/>
    <x v="3"/>
    <x v="3"/>
    <x v="3"/>
    <x v="3"/>
    <x v="3"/>
    <x v="2"/>
  </r>
  <r>
    <x v="4"/>
    <x v="4"/>
    <x v="4"/>
    <x v="4"/>
    <x v="0"/>
    <x v="1"/>
    <x v="4"/>
    <x v="4"/>
    <x v="4"/>
    <x v="4"/>
    <x v="4"/>
    <x v="4"/>
    <x v="4"/>
    <x v="4"/>
    <x v="3"/>
  </r>
  <r>
    <x v="5"/>
    <x v="5"/>
    <x v="5"/>
    <x v="5"/>
    <x v="1"/>
    <x v="2"/>
    <x v="5"/>
    <x v="5"/>
    <x v="5"/>
    <x v="5"/>
    <x v="5"/>
    <x v="5"/>
    <x v="5"/>
    <x v="5"/>
    <x v="4"/>
  </r>
  <r>
    <x v="6"/>
    <x v="6"/>
    <x v="6"/>
    <x v="6"/>
    <x v="3"/>
    <x v="0"/>
    <x v="6"/>
    <x v="6"/>
    <x v="6"/>
    <x v="6"/>
    <x v="6"/>
    <x v="6"/>
    <x v="6"/>
    <x v="6"/>
    <x v="1"/>
  </r>
  <r>
    <x v="7"/>
    <x v="7"/>
    <x v="7"/>
    <x v="7"/>
    <x v="2"/>
    <x v="3"/>
    <x v="1"/>
    <x v="7"/>
    <x v="7"/>
    <x v="7"/>
    <x v="7"/>
    <x v="7"/>
    <x v="7"/>
    <x v="7"/>
    <x v="5"/>
  </r>
  <r>
    <x v="8"/>
    <x v="8"/>
    <x v="8"/>
    <x v="8"/>
    <x v="2"/>
    <x v="1"/>
    <x v="4"/>
    <x v="8"/>
    <x v="8"/>
    <x v="8"/>
    <x v="8"/>
    <x v="8"/>
    <x v="8"/>
    <x v="8"/>
    <x v="6"/>
  </r>
  <r>
    <x v="9"/>
    <x v="9"/>
    <x v="9"/>
    <x v="9"/>
    <x v="1"/>
    <x v="0"/>
    <x v="7"/>
    <x v="9"/>
    <x v="9"/>
    <x v="9"/>
    <x v="9"/>
    <x v="9"/>
    <x v="9"/>
    <x v="9"/>
    <x v="5"/>
  </r>
  <r>
    <x v="10"/>
    <x v="10"/>
    <x v="10"/>
    <x v="10"/>
    <x v="3"/>
    <x v="1"/>
    <x v="8"/>
    <x v="10"/>
    <x v="10"/>
    <x v="10"/>
    <x v="10"/>
    <x v="10"/>
    <x v="10"/>
    <x v="10"/>
    <x v="7"/>
  </r>
  <r>
    <x v="11"/>
    <x v="11"/>
    <x v="11"/>
    <x v="11"/>
    <x v="0"/>
    <x v="0"/>
    <x v="0"/>
    <x v="11"/>
    <x v="11"/>
    <x v="11"/>
    <x v="11"/>
    <x v="11"/>
    <x v="11"/>
    <x v="11"/>
    <x v="4"/>
  </r>
  <r>
    <x v="12"/>
    <x v="12"/>
    <x v="12"/>
    <x v="12"/>
    <x v="3"/>
    <x v="2"/>
    <x v="9"/>
    <x v="12"/>
    <x v="12"/>
    <x v="12"/>
    <x v="12"/>
    <x v="12"/>
    <x v="12"/>
    <x v="12"/>
    <x v="8"/>
  </r>
  <r>
    <x v="13"/>
    <x v="13"/>
    <x v="13"/>
    <x v="13"/>
    <x v="1"/>
    <x v="1"/>
    <x v="10"/>
    <x v="13"/>
    <x v="13"/>
    <x v="13"/>
    <x v="13"/>
    <x v="13"/>
    <x v="13"/>
    <x v="13"/>
    <x v="0"/>
  </r>
  <r>
    <x v="14"/>
    <x v="14"/>
    <x v="14"/>
    <x v="11"/>
    <x v="2"/>
    <x v="1"/>
    <x v="7"/>
    <x v="14"/>
    <x v="14"/>
    <x v="14"/>
    <x v="14"/>
    <x v="14"/>
    <x v="14"/>
    <x v="14"/>
    <x v="1"/>
  </r>
  <r>
    <x v="15"/>
    <x v="15"/>
    <x v="15"/>
    <x v="1"/>
    <x v="1"/>
    <x v="2"/>
    <x v="2"/>
    <x v="15"/>
    <x v="15"/>
    <x v="15"/>
    <x v="15"/>
    <x v="15"/>
    <x v="15"/>
    <x v="15"/>
    <x v="2"/>
  </r>
  <r>
    <x v="16"/>
    <x v="16"/>
    <x v="16"/>
    <x v="14"/>
    <x v="0"/>
    <x v="1"/>
    <x v="11"/>
    <x v="16"/>
    <x v="16"/>
    <x v="16"/>
    <x v="16"/>
    <x v="16"/>
    <x v="16"/>
    <x v="16"/>
    <x v="7"/>
  </r>
  <r>
    <x v="17"/>
    <x v="17"/>
    <x v="17"/>
    <x v="15"/>
    <x v="1"/>
    <x v="3"/>
    <x v="8"/>
    <x v="17"/>
    <x v="17"/>
    <x v="17"/>
    <x v="17"/>
    <x v="17"/>
    <x v="17"/>
    <x v="17"/>
    <x v="2"/>
  </r>
  <r>
    <x v="18"/>
    <x v="18"/>
    <x v="18"/>
    <x v="16"/>
    <x v="2"/>
    <x v="1"/>
    <x v="11"/>
    <x v="18"/>
    <x v="18"/>
    <x v="18"/>
    <x v="18"/>
    <x v="18"/>
    <x v="18"/>
    <x v="18"/>
    <x v="0"/>
  </r>
  <r>
    <x v="19"/>
    <x v="19"/>
    <x v="19"/>
    <x v="8"/>
    <x v="2"/>
    <x v="0"/>
    <x v="5"/>
    <x v="19"/>
    <x v="19"/>
    <x v="19"/>
    <x v="19"/>
    <x v="19"/>
    <x v="19"/>
    <x v="19"/>
    <x v="4"/>
  </r>
  <r>
    <x v="20"/>
    <x v="20"/>
    <x v="20"/>
    <x v="17"/>
    <x v="1"/>
    <x v="0"/>
    <x v="12"/>
    <x v="20"/>
    <x v="20"/>
    <x v="20"/>
    <x v="20"/>
    <x v="20"/>
    <x v="20"/>
    <x v="20"/>
    <x v="8"/>
  </r>
  <r>
    <x v="21"/>
    <x v="21"/>
    <x v="21"/>
    <x v="18"/>
    <x v="2"/>
    <x v="1"/>
    <x v="3"/>
    <x v="21"/>
    <x v="21"/>
    <x v="21"/>
    <x v="21"/>
    <x v="21"/>
    <x v="21"/>
    <x v="21"/>
    <x v="2"/>
  </r>
  <r>
    <x v="22"/>
    <x v="22"/>
    <x v="22"/>
    <x v="0"/>
    <x v="2"/>
    <x v="2"/>
    <x v="13"/>
    <x v="22"/>
    <x v="22"/>
    <x v="22"/>
    <x v="22"/>
    <x v="22"/>
    <x v="22"/>
    <x v="22"/>
    <x v="1"/>
  </r>
  <r>
    <x v="23"/>
    <x v="23"/>
    <x v="23"/>
    <x v="19"/>
    <x v="3"/>
    <x v="1"/>
    <x v="14"/>
    <x v="23"/>
    <x v="23"/>
    <x v="23"/>
    <x v="23"/>
    <x v="23"/>
    <x v="23"/>
    <x v="23"/>
    <x v="9"/>
  </r>
  <r>
    <x v="24"/>
    <x v="24"/>
    <x v="24"/>
    <x v="14"/>
    <x v="0"/>
    <x v="2"/>
    <x v="11"/>
    <x v="24"/>
    <x v="24"/>
    <x v="24"/>
    <x v="24"/>
    <x v="24"/>
    <x v="24"/>
    <x v="24"/>
    <x v="7"/>
  </r>
  <r>
    <x v="25"/>
    <x v="25"/>
    <x v="25"/>
    <x v="9"/>
    <x v="1"/>
    <x v="3"/>
    <x v="15"/>
    <x v="25"/>
    <x v="25"/>
    <x v="25"/>
    <x v="25"/>
    <x v="25"/>
    <x v="25"/>
    <x v="25"/>
    <x v="1"/>
  </r>
  <r>
    <x v="26"/>
    <x v="26"/>
    <x v="26"/>
    <x v="20"/>
    <x v="3"/>
    <x v="1"/>
    <x v="11"/>
    <x v="26"/>
    <x v="26"/>
    <x v="26"/>
    <x v="26"/>
    <x v="26"/>
    <x v="26"/>
    <x v="26"/>
    <x v="10"/>
  </r>
  <r>
    <x v="27"/>
    <x v="27"/>
    <x v="27"/>
    <x v="19"/>
    <x v="3"/>
    <x v="1"/>
    <x v="8"/>
    <x v="27"/>
    <x v="27"/>
    <x v="27"/>
    <x v="27"/>
    <x v="27"/>
    <x v="27"/>
    <x v="27"/>
    <x v="2"/>
  </r>
  <r>
    <x v="28"/>
    <x v="28"/>
    <x v="28"/>
    <x v="2"/>
    <x v="1"/>
    <x v="1"/>
    <x v="14"/>
    <x v="28"/>
    <x v="28"/>
    <x v="28"/>
    <x v="28"/>
    <x v="28"/>
    <x v="28"/>
    <x v="28"/>
    <x v="0"/>
  </r>
  <r>
    <x v="29"/>
    <x v="29"/>
    <x v="29"/>
    <x v="21"/>
    <x v="0"/>
    <x v="1"/>
    <x v="0"/>
    <x v="29"/>
    <x v="29"/>
    <x v="29"/>
    <x v="29"/>
    <x v="29"/>
    <x v="29"/>
    <x v="29"/>
    <x v="0"/>
  </r>
  <r>
    <x v="30"/>
    <x v="30"/>
    <x v="30"/>
    <x v="13"/>
    <x v="3"/>
    <x v="0"/>
    <x v="4"/>
    <x v="30"/>
    <x v="30"/>
    <x v="30"/>
    <x v="30"/>
    <x v="30"/>
    <x v="30"/>
    <x v="30"/>
    <x v="9"/>
  </r>
  <r>
    <x v="31"/>
    <x v="31"/>
    <x v="31"/>
    <x v="14"/>
    <x v="2"/>
    <x v="3"/>
    <x v="10"/>
    <x v="31"/>
    <x v="31"/>
    <x v="31"/>
    <x v="31"/>
    <x v="31"/>
    <x v="31"/>
    <x v="31"/>
    <x v="8"/>
  </r>
  <r>
    <x v="32"/>
    <x v="32"/>
    <x v="32"/>
    <x v="22"/>
    <x v="0"/>
    <x v="2"/>
    <x v="16"/>
    <x v="32"/>
    <x v="32"/>
    <x v="32"/>
    <x v="32"/>
    <x v="32"/>
    <x v="32"/>
    <x v="32"/>
    <x v="3"/>
  </r>
  <r>
    <x v="33"/>
    <x v="33"/>
    <x v="33"/>
    <x v="5"/>
    <x v="0"/>
    <x v="2"/>
    <x v="10"/>
    <x v="33"/>
    <x v="33"/>
    <x v="33"/>
    <x v="33"/>
    <x v="33"/>
    <x v="33"/>
    <x v="33"/>
    <x v="2"/>
  </r>
  <r>
    <x v="34"/>
    <x v="34"/>
    <x v="34"/>
    <x v="13"/>
    <x v="3"/>
    <x v="2"/>
    <x v="12"/>
    <x v="34"/>
    <x v="34"/>
    <x v="34"/>
    <x v="34"/>
    <x v="34"/>
    <x v="34"/>
    <x v="34"/>
    <x v="6"/>
  </r>
  <r>
    <x v="35"/>
    <x v="35"/>
    <x v="35"/>
    <x v="19"/>
    <x v="3"/>
    <x v="1"/>
    <x v="17"/>
    <x v="35"/>
    <x v="35"/>
    <x v="35"/>
    <x v="35"/>
    <x v="35"/>
    <x v="35"/>
    <x v="35"/>
    <x v="8"/>
  </r>
  <r>
    <x v="36"/>
    <x v="36"/>
    <x v="36"/>
    <x v="22"/>
    <x v="3"/>
    <x v="3"/>
    <x v="8"/>
    <x v="36"/>
    <x v="36"/>
    <x v="36"/>
    <x v="36"/>
    <x v="36"/>
    <x v="36"/>
    <x v="36"/>
    <x v="7"/>
  </r>
  <r>
    <x v="37"/>
    <x v="37"/>
    <x v="37"/>
    <x v="0"/>
    <x v="2"/>
    <x v="0"/>
    <x v="18"/>
    <x v="37"/>
    <x v="37"/>
    <x v="37"/>
    <x v="37"/>
    <x v="37"/>
    <x v="37"/>
    <x v="37"/>
    <x v="4"/>
  </r>
  <r>
    <x v="38"/>
    <x v="38"/>
    <x v="38"/>
    <x v="23"/>
    <x v="0"/>
    <x v="0"/>
    <x v="6"/>
    <x v="38"/>
    <x v="38"/>
    <x v="38"/>
    <x v="38"/>
    <x v="38"/>
    <x v="38"/>
    <x v="38"/>
    <x v="1"/>
  </r>
  <r>
    <x v="39"/>
    <x v="39"/>
    <x v="39"/>
    <x v="3"/>
    <x v="0"/>
    <x v="0"/>
    <x v="19"/>
    <x v="39"/>
    <x v="39"/>
    <x v="39"/>
    <x v="39"/>
    <x v="39"/>
    <x v="39"/>
    <x v="39"/>
    <x v="10"/>
  </r>
  <r>
    <x v="40"/>
    <x v="40"/>
    <x v="40"/>
    <x v="24"/>
    <x v="2"/>
    <x v="2"/>
    <x v="12"/>
    <x v="40"/>
    <x v="40"/>
    <x v="40"/>
    <x v="40"/>
    <x v="40"/>
    <x v="40"/>
    <x v="40"/>
    <x v="5"/>
  </r>
  <r>
    <x v="41"/>
    <x v="41"/>
    <x v="41"/>
    <x v="12"/>
    <x v="1"/>
    <x v="0"/>
    <x v="10"/>
    <x v="41"/>
    <x v="41"/>
    <x v="41"/>
    <x v="41"/>
    <x v="41"/>
    <x v="41"/>
    <x v="41"/>
    <x v="10"/>
  </r>
  <r>
    <x v="42"/>
    <x v="42"/>
    <x v="42"/>
    <x v="2"/>
    <x v="1"/>
    <x v="3"/>
    <x v="20"/>
    <x v="42"/>
    <x v="42"/>
    <x v="42"/>
    <x v="42"/>
    <x v="42"/>
    <x v="42"/>
    <x v="42"/>
    <x v="9"/>
  </r>
  <r>
    <x v="43"/>
    <x v="43"/>
    <x v="43"/>
    <x v="2"/>
    <x v="2"/>
    <x v="1"/>
    <x v="19"/>
    <x v="43"/>
    <x v="43"/>
    <x v="43"/>
    <x v="43"/>
    <x v="43"/>
    <x v="43"/>
    <x v="43"/>
    <x v="10"/>
  </r>
  <r>
    <x v="44"/>
    <x v="44"/>
    <x v="44"/>
    <x v="22"/>
    <x v="0"/>
    <x v="0"/>
    <x v="4"/>
    <x v="44"/>
    <x v="44"/>
    <x v="44"/>
    <x v="44"/>
    <x v="44"/>
    <x v="44"/>
    <x v="44"/>
    <x v="5"/>
  </r>
  <r>
    <x v="45"/>
    <x v="45"/>
    <x v="45"/>
    <x v="25"/>
    <x v="0"/>
    <x v="3"/>
    <x v="17"/>
    <x v="45"/>
    <x v="45"/>
    <x v="45"/>
    <x v="45"/>
    <x v="45"/>
    <x v="45"/>
    <x v="45"/>
    <x v="0"/>
  </r>
  <r>
    <x v="46"/>
    <x v="46"/>
    <x v="46"/>
    <x v="14"/>
    <x v="2"/>
    <x v="2"/>
    <x v="0"/>
    <x v="46"/>
    <x v="46"/>
    <x v="46"/>
    <x v="46"/>
    <x v="46"/>
    <x v="46"/>
    <x v="46"/>
    <x v="7"/>
  </r>
  <r>
    <x v="47"/>
    <x v="47"/>
    <x v="47"/>
    <x v="6"/>
    <x v="1"/>
    <x v="2"/>
    <x v="14"/>
    <x v="47"/>
    <x v="47"/>
    <x v="47"/>
    <x v="47"/>
    <x v="47"/>
    <x v="47"/>
    <x v="47"/>
    <x v="7"/>
  </r>
  <r>
    <x v="48"/>
    <x v="48"/>
    <x v="48"/>
    <x v="10"/>
    <x v="2"/>
    <x v="1"/>
    <x v="16"/>
    <x v="48"/>
    <x v="48"/>
    <x v="48"/>
    <x v="48"/>
    <x v="48"/>
    <x v="48"/>
    <x v="48"/>
    <x v="9"/>
  </r>
  <r>
    <x v="49"/>
    <x v="49"/>
    <x v="49"/>
    <x v="20"/>
    <x v="0"/>
    <x v="2"/>
    <x v="21"/>
    <x v="49"/>
    <x v="49"/>
    <x v="49"/>
    <x v="49"/>
    <x v="49"/>
    <x v="49"/>
    <x v="49"/>
    <x v="9"/>
  </r>
  <r>
    <x v="50"/>
    <x v="50"/>
    <x v="50"/>
    <x v="6"/>
    <x v="1"/>
    <x v="1"/>
    <x v="15"/>
    <x v="50"/>
    <x v="50"/>
    <x v="50"/>
    <x v="50"/>
    <x v="50"/>
    <x v="50"/>
    <x v="50"/>
    <x v="1"/>
  </r>
  <r>
    <x v="51"/>
    <x v="51"/>
    <x v="51"/>
    <x v="24"/>
    <x v="3"/>
    <x v="2"/>
    <x v="15"/>
    <x v="51"/>
    <x v="51"/>
    <x v="51"/>
    <x v="51"/>
    <x v="51"/>
    <x v="51"/>
    <x v="51"/>
    <x v="1"/>
  </r>
  <r>
    <x v="52"/>
    <x v="52"/>
    <x v="52"/>
    <x v="22"/>
    <x v="2"/>
    <x v="2"/>
    <x v="6"/>
    <x v="52"/>
    <x v="52"/>
    <x v="52"/>
    <x v="52"/>
    <x v="52"/>
    <x v="52"/>
    <x v="52"/>
    <x v="9"/>
  </r>
  <r>
    <x v="53"/>
    <x v="53"/>
    <x v="53"/>
    <x v="14"/>
    <x v="0"/>
    <x v="3"/>
    <x v="8"/>
    <x v="53"/>
    <x v="53"/>
    <x v="53"/>
    <x v="53"/>
    <x v="53"/>
    <x v="53"/>
    <x v="53"/>
    <x v="8"/>
  </r>
  <r>
    <x v="54"/>
    <x v="54"/>
    <x v="54"/>
    <x v="7"/>
    <x v="3"/>
    <x v="3"/>
    <x v="7"/>
    <x v="54"/>
    <x v="54"/>
    <x v="54"/>
    <x v="54"/>
    <x v="54"/>
    <x v="54"/>
    <x v="54"/>
    <x v="3"/>
  </r>
  <r>
    <x v="55"/>
    <x v="55"/>
    <x v="55"/>
    <x v="7"/>
    <x v="0"/>
    <x v="0"/>
    <x v="11"/>
    <x v="55"/>
    <x v="55"/>
    <x v="55"/>
    <x v="55"/>
    <x v="55"/>
    <x v="55"/>
    <x v="55"/>
    <x v="1"/>
  </r>
  <r>
    <x v="56"/>
    <x v="56"/>
    <x v="56"/>
    <x v="8"/>
    <x v="1"/>
    <x v="2"/>
    <x v="17"/>
    <x v="56"/>
    <x v="56"/>
    <x v="56"/>
    <x v="56"/>
    <x v="56"/>
    <x v="56"/>
    <x v="56"/>
    <x v="8"/>
  </r>
  <r>
    <x v="57"/>
    <x v="57"/>
    <x v="57"/>
    <x v="18"/>
    <x v="1"/>
    <x v="0"/>
    <x v="2"/>
    <x v="57"/>
    <x v="57"/>
    <x v="57"/>
    <x v="57"/>
    <x v="57"/>
    <x v="57"/>
    <x v="57"/>
    <x v="7"/>
  </r>
  <r>
    <x v="58"/>
    <x v="58"/>
    <x v="58"/>
    <x v="11"/>
    <x v="3"/>
    <x v="1"/>
    <x v="21"/>
    <x v="58"/>
    <x v="58"/>
    <x v="58"/>
    <x v="58"/>
    <x v="58"/>
    <x v="58"/>
    <x v="58"/>
    <x v="5"/>
  </r>
  <r>
    <x v="59"/>
    <x v="59"/>
    <x v="59"/>
    <x v="25"/>
    <x v="0"/>
    <x v="3"/>
    <x v="10"/>
    <x v="59"/>
    <x v="59"/>
    <x v="59"/>
    <x v="59"/>
    <x v="59"/>
    <x v="59"/>
    <x v="59"/>
    <x v="1"/>
  </r>
  <r>
    <x v="60"/>
    <x v="60"/>
    <x v="60"/>
    <x v="22"/>
    <x v="1"/>
    <x v="0"/>
    <x v="22"/>
    <x v="60"/>
    <x v="60"/>
    <x v="60"/>
    <x v="60"/>
    <x v="60"/>
    <x v="60"/>
    <x v="60"/>
    <x v="11"/>
  </r>
  <r>
    <x v="61"/>
    <x v="61"/>
    <x v="61"/>
    <x v="17"/>
    <x v="1"/>
    <x v="2"/>
    <x v="4"/>
    <x v="61"/>
    <x v="61"/>
    <x v="61"/>
    <x v="61"/>
    <x v="61"/>
    <x v="61"/>
    <x v="61"/>
    <x v="1"/>
  </r>
  <r>
    <x v="62"/>
    <x v="62"/>
    <x v="62"/>
    <x v="23"/>
    <x v="1"/>
    <x v="2"/>
    <x v="14"/>
    <x v="62"/>
    <x v="62"/>
    <x v="62"/>
    <x v="62"/>
    <x v="62"/>
    <x v="62"/>
    <x v="62"/>
    <x v="1"/>
  </r>
  <r>
    <x v="63"/>
    <x v="63"/>
    <x v="63"/>
    <x v="1"/>
    <x v="1"/>
    <x v="2"/>
    <x v="22"/>
    <x v="63"/>
    <x v="63"/>
    <x v="63"/>
    <x v="63"/>
    <x v="63"/>
    <x v="63"/>
    <x v="63"/>
    <x v="10"/>
  </r>
  <r>
    <x v="64"/>
    <x v="64"/>
    <x v="64"/>
    <x v="26"/>
    <x v="0"/>
    <x v="0"/>
    <x v="19"/>
    <x v="64"/>
    <x v="64"/>
    <x v="64"/>
    <x v="64"/>
    <x v="64"/>
    <x v="64"/>
    <x v="64"/>
    <x v="6"/>
  </r>
  <r>
    <x v="65"/>
    <x v="65"/>
    <x v="65"/>
    <x v="15"/>
    <x v="2"/>
    <x v="3"/>
    <x v="21"/>
    <x v="65"/>
    <x v="65"/>
    <x v="65"/>
    <x v="65"/>
    <x v="65"/>
    <x v="65"/>
    <x v="65"/>
    <x v="8"/>
  </r>
  <r>
    <x v="66"/>
    <x v="66"/>
    <x v="66"/>
    <x v="16"/>
    <x v="2"/>
    <x v="3"/>
    <x v="11"/>
    <x v="66"/>
    <x v="66"/>
    <x v="66"/>
    <x v="66"/>
    <x v="66"/>
    <x v="66"/>
    <x v="66"/>
    <x v="4"/>
  </r>
  <r>
    <x v="67"/>
    <x v="67"/>
    <x v="67"/>
    <x v="25"/>
    <x v="0"/>
    <x v="2"/>
    <x v="2"/>
    <x v="67"/>
    <x v="67"/>
    <x v="67"/>
    <x v="67"/>
    <x v="67"/>
    <x v="67"/>
    <x v="67"/>
    <x v="9"/>
  </r>
  <r>
    <x v="68"/>
    <x v="68"/>
    <x v="68"/>
    <x v="13"/>
    <x v="1"/>
    <x v="3"/>
    <x v="10"/>
    <x v="68"/>
    <x v="68"/>
    <x v="68"/>
    <x v="68"/>
    <x v="68"/>
    <x v="68"/>
    <x v="68"/>
    <x v="10"/>
  </r>
  <r>
    <x v="69"/>
    <x v="69"/>
    <x v="69"/>
    <x v="7"/>
    <x v="1"/>
    <x v="0"/>
    <x v="10"/>
    <x v="69"/>
    <x v="69"/>
    <x v="69"/>
    <x v="69"/>
    <x v="69"/>
    <x v="69"/>
    <x v="69"/>
    <x v="7"/>
  </r>
  <r>
    <x v="70"/>
    <x v="70"/>
    <x v="70"/>
    <x v="0"/>
    <x v="0"/>
    <x v="2"/>
    <x v="13"/>
    <x v="22"/>
    <x v="70"/>
    <x v="70"/>
    <x v="22"/>
    <x v="70"/>
    <x v="70"/>
    <x v="70"/>
    <x v="9"/>
  </r>
  <r>
    <x v="71"/>
    <x v="71"/>
    <x v="71"/>
    <x v="1"/>
    <x v="3"/>
    <x v="0"/>
    <x v="3"/>
    <x v="70"/>
    <x v="71"/>
    <x v="71"/>
    <x v="70"/>
    <x v="71"/>
    <x v="71"/>
    <x v="71"/>
    <x v="9"/>
  </r>
  <r>
    <x v="72"/>
    <x v="72"/>
    <x v="72"/>
    <x v="3"/>
    <x v="0"/>
    <x v="0"/>
    <x v="1"/>
    <x v="71"/>
    <x v="72"/>
    <x v="72"/>
    <x v="71"/>
    <x v="72"/>
    <x v="72"/>
    <x v="72"/>
    <x v="7"/>
  </r>
  <r>
    <x v="73"/>
    <x v="73"/>
    <x v="73"/>
    <x v="0"/>
    <x v="1"/>
    <x v="0"/>
    <x v="5"/>
    <x v="72"/>
    <x v="73"/>
    <x v="73"/>
    <x v="72"/>
    <x v="73"/>
    <x v="73"/>
    <x v="73"/>
    <x v="7"/>
  </r>
  <r>
    <x v="74"/>
    <x v="74"/>
    <x v="74"/>
    <x v="0"/>
    <x v="1"/>
    <x v="1"/>
    <x v="20"/>
    <x v="73"/>
    <x v="74"/>
    <x v="74"/>
    <x v="73"/>
    <x v="74"/>
    <x v="74"/>
    <x v="74"/>
    <x v="2"/>
  </r>
  <r>
    <x v="75"/>
    <x v="75"/>
    <x v="75"/>
    <x v="20"/>
    <x v="1"/>
    <x v="0"/>
    <x v="8"/>
    <x v="74"/>
    <x v="75"/>
    <x v="75"/>
    <x v="74"/>
    <x v="75"/>
    <x v="75"/>
    <x v="75"/>
    <x v="7"/>
  </r>
  <r>
    <x v="76"/>
    <x v="76"/>
    <x v="76"/>
    <x v="22"/>
    <x v="1"/>
    <x v="3"/>
    <x v="15"/>
    <x v="75"/>
    <x v="76"/>
    <x v="76"/>
    <x v="75"/>
    <x v="76"/>
    <x v="76"/>
    <x v="76"/>
    <x v="9"/>
  </r>
  <r>
    <x v="77"/>
    <x v="77"/>
    <x v="77"/>
    <x v="1"/>
    <x v="0"/>
    <x v="2"/>
    <x v="9"/>
    <x v="76"/>
    <x v="77"/>
    <x v="77"/>
    <x v="76"/>
    <x v="77"/>
    <x v="77"/>
    <x v="77"/>
    <x v="7"/>
  </r>
  <r>
    <x v="78"/>
    <x v="78"/>
    <x v="78"/>
    <x v="3"/>
    <x v="3"/>
    <x v="1"/>
    <x v="19"/>
    <x v="77"/>
    <x v="78"/>
    <x v="78"/>
    <x v="77"/>
    <x v="78"/>
    <x v="78"/>
    <x v="78"/>
    <x v="9"/>
  </r>
  <r>
    <x v="79"/>
    <x v="79"/>
    <x v="79"/>
    <x v="26"/>
    <x v="1"/>
    <x v="1"/>
    <x v="7"/>
    <x v="78"/>
    <x v="79"/>
    <x v="79"/>
    <x v="78"/>
    <x v="79"/>
    <x v="79"/>
    <x v="79"/>
    <x v="0"/>
  </r>
  <r>
    <x v="80"/>
    <x v="80"/>
    <x v="80"/>
    <x v="11"/>
    <x v="2"/>
    <x v="3"/>
    <x v="16"/>
    <x v="79"/>
    <x v="80"/>
    <x v="80"/>
    <x v="79"/>
    <x v="80"/>
    <x v="80"/>
    <x v="80"/>
    <x v="2"/>
  </r>
  <r>
    <x v="81"/>
    <x v="81"/>
    <x v="81"/>
    <x v="4"/>
    <x v="2"/>
    <x v="2"/>
    <x v="1"/>
    <x v="80"/>
    <x v="81"/>
    <x v="81"/>
    <x v="80"/>
    <x v="81"/>
    <x v="81"/>
    <x v="81"/>
    <x v="0"/>
  </r>
  <r>
    <x v="82"/>
    <x v="82"/>
    <x v="82"/>
    <x v="20"/>
    <x v="2"/>
    <x v="2"/>
    <x v="12"/>
    <x v="81"/>
    <x v="82"/>
    <x v="82"/>
    <x v="81"/>
    <x v="82"/>
    <x v="82"/>
    <x v="82"/>
    <x v="5"/>
  </r>
  <r>
    <x v="83"/>
    <x v="83"/>
    <x v="83"/>
    <x v="20"/>
    <x v="0"/>
    <x v="0"/>
    <x v="18"/>
    <x v="82"/>
    <x v="83"/>
    <x v="83"/>
    <x v="82"/>
    <x v="83"/>
    <x v="83"/>
    <x v="83"/>
    <x v="11"/>
  </r>
  <r>
    <x v="84"/>
    <x v="84"/>
    <x v="84"/>
    <x v="5"/>
    <x v="0"/>
    <x v="3"/>
    <x v="13"/>
    <x v="83"/>
    <x v="84"/>
    <x v="84"/>
    <x v="83"/>
    <x v="84"/>
    <x v="84"/>
    <x v="84"/>
    <x v="8"/>
  </r>
  <r>
    <x v="85"/>
    <x v="85"/>
    <x v="85"/>
    <x v="17"/>
    <x v="3"/>
    <x v="3"/>
    <x v="15"/>
    <x v="84"/>
    <x v="85"/>
    <x v="85"/>
    <x v="84"/>
    <x v="85"/>
    <x v="85"/>
    <x v="85"/>
    <x v="0"/>
  </r>
  <r>
    <x v="86"/>
    <x v="86"/>
    <x v="86"/>
    <x v="13"/>
    <x v="1"/>
    <x v="1"/>
    <x v="23"/>
    <x v="85"/>
    <x v="86"/>
    <x v="86"/>
    <x v="85"/>
    <x v="86"/>
    <x v="86"/>
    <x v="86"/>
    <x v="9"/>
  </r>
  <r>
    <x v="87"/>
    <x v="87"/>
    <x v="87"/>
    <x v="6"/>
    <x v="1"/>
    <x v="0"/>
    <x v="4"/>
    <x v="86"/>
    <x v="87"/>
    <x v="87"/>
    <x v="86"/>
    <x v="87"/>
    <x v="87"/>
    <x v="87"/>
    <x v="0"/>
  </r>
  <r>
    <x v="88"/>
    <x v="88"/>
    <x v="88"/>
    <x v="19"/>
    <x v="1"/>
    <x v="2"/>
    <x v="14"/>
    <x v="87"/>
    <x v="88"/>
    <x v="88"/>
    <x v="87"/>
    <x v="88"/>
    <x v="88"/>
    <x v="88"/>
    <x v="4"/>
  </r>
  <r>
    <x v="89"/>
    <x v="89"/>
    <x v="89"/>
    <x v="17"/>
    <x v="2"/>
    <x v="2"/>
    <x v="14"/>
    <x v="88"/>
    <x v="89"/>
    <x v="89"/>
    <x v="88"/>
    <x v="89"/>
    <x v="89"/>
    <x v="89"/>
    <x v="8"/>
  </r>
  <r>
    <x v="90"/>
    <x v="90"/>
    <x v="90"/>
    <x v="20"/>
    <x v="3"/>
    <x v="3"/>
    <x v="11"/>
    <x v="89"/>
    <x v="90"/>
    <x v="90"/>
    <x v="89"/>
    <x v="90"/>
    <x v="90"/>
    <x v="90"/>
    <x v="0"/>
  </r>
  <r>
    <x v="91"/>
    <x v="91"/>
    <x v="91"/>
    <x v="27"/>
    <x v="1"/>
    <x v="0"/>
    <x v="23"/>
    <x v="90"/>
    <x v="91"/>
    <x v="91"/>
    <x v="90"/>
    <x v="91"/>
    <x v="91"/>
    <x v="91"/>
    <x v="5"/>
  </r>
  <r>
    <x v="92"/>
    <x v="92"/>
    <x v="92"/>
    <x v="6"/>
    <x v="1"/>
    <x v="3"/>
    <x v="23"/>
    <x v="91"/>
    <x v="92"/>
    <x v="92"/>
    <x v="91"/>
    <x v="92"/>
    <x v="92"/>
    <x v="92"/>
    <x v="3"/>
  </r>
  <r>
    <x v="93"/>
    <x v="93"/>
    <x v="93"/>
    <x v="6"/>
    <x v="2"/>
    <x v="3"/>
    <x v="2"/>
    <x v="92"/>
    <x v="93"/>
    <x v="93"/>
    <x v="92"/>
    <x v="93"/>
    <x v="93"/>
    <x v="93"/>
    <x v="9"/>
  </r>
  <r>
    <x v="94"/>
    <x v="94"/>
    <x v="94"/>
    <x v="2"/>
    <x v="2"/>
    <x v="0"/>
    <x v="4"/>
    <x v="93"/>
    <x v="94"/>
    <x v="94"/>
    <x v="93"/>
    <x v="94"/>
    <x v="94"/>
    <x v="94"/>
    <x v="2"/>
  </r>
  <r>
    <x v="95"/>
    <x v="95"/>
    <x v="95"/>
    <x v="1"/>
    <x v="2"/>
    <x v="1"/>
    <x v="15"/>
    <x v="94"/>
    <x v="95"/>
    <x v="95"/>
    <x v="94"/>
    <x v="95"/>
    <x v="95"/>
    <x v="95"/>
    <x v="6"/>
  </r>
  <r>
    <x v="96"/>
    <x v="96"/>
    <x v="96"/>
    <x v="15"/>
    <x v="3"/>
    <x v="2"/>
    <x v="12"/>
    <x v="95"/>
    <x v="96"/>
    <x v="96"/>
    <x v="95"/>
    <x v="96"/>
    <x v="96"/>
    <x v="96"/>
    <x v="9"/>
  </r>
  <r>
    <x v="97"/>
    <x v="97"/>
    <x v="97"/>
    <x v="27"/>
    <x v="2"/>
    <x v="0"/>
    <x v="4"/>
    <x v="96"/>
    <x v="97"/>
    <x v="97"/>
    <x v="96"/>
    <x v="97"/>
    <x v="97"/>
    <x v="97"/>
    <x v="0"/>
  </r>
  <r>
    <x v="98"/>
    <x v="98"/>
    <x v="98"/>
    <x v="27"/>
    <x v="2"/>
    <x v="3"/>
    <x v="11"/>
    <x v="97"/>
    <x v="98"/>
    <x v="98"/>
    <x v="97"/>
    <x v="98"/>
    <x v="98"/>
    <x v="98"/>
    <x v="3"/>
  </r>
  <r>
    <x v="99"/>
    <x v="99"/>
    <x v="99"/>
    <x v="20"/>
    <x v="1"/>
    <x v="1"/>
    <x v="7"/>
    <x v="98"/>
    <x v="99"/>
    <x v="99"/>
    <x v="98"/>
    <x v="99"/>
    <x v="99"/>
    <x v="99"/>
    <x v="9"/>
  </r>
  <r>
    <x v="100"/>
    <x v="100"/>
    <x v="100"/>
    <x v="8"/>
    <x v="3"/>
    <x v="3"/>
    <x v="21"/>
    <x v="99"/>
    <x v="100"/>
    <x v="100"/>
    <x v="99"/>
    <x v="100"/>
    <x v="100"/>
    <x v="100"/>
    <x v="10"/>
  </r>
  <r>
    <x v="101"/>
    <x v="101"/>
    <x v="101"/>
    <x v="12"/>
    <x v="0"/>
    <x v="0"/>
    <x v="21"/>
    <x v="100"/>
    <x v="101"/>
    <x v="101"/>
    <x v="100"/>
    <x v="101"/>
    <x v="101"/>
    <x v="101"/>
    <x v="1"/>
  </r>
  <r>
    <x v="102"/>
    <x v="102"/>
    <x v="102"/>
    <x v="8"/>
    <x v="2"/>
    <x v="2"/>
    <x v="16"/>
    <x v="101"/>
    <x v="102"/>
    <x v="102"/>
    <x v="101"/>
    <x v="102"/>
    <x v="102"/>
    <x v="102"/>
    <x v="10"/>
  </r>
  <r>
    <x v="103"/>
    <x v="103"/>
    <x v="103"/>
    <x v="19"/>
    <x v="0"/>
    <x v="1"/>
    <x v="22"/>
    <x v="102"/>
    <x v="103"/>
    <x v="103"/>
    <x v="102"/>
    <x v="103"/>
    <x v="103"/>
    <x v="103"/>
    <x v="8"/>
  </r>
  <r>
    <x v="104"/>
    <x v="104"/>
    <x v="104"/>
    <x v="2"/>
    <x v="0"/>
    <x v="3"/>
    <x v="17"/>
    <x v="103"/>
    <x v="104"/>
    <x v="104"/>
    <x v="103"/>
    <x v="104"/>
    <x v="104"/>
    <x v="104"/>
    <x v="3"/>
  </r>
  <r>
    <x v="105"/>
    <x v="105"/>
    <x v="105"/>
    <x v="16"/>
    <x v="1"/>
    <x v="2"/>
    <x v="8"/>
    <x v="104"/>
    <x v="105"/>
    <x v="105"/>
    <x v="104"/>
    <x v="105"/>
    <x v="105"/>
    <x v="105"/>
    <x v="6"/>
  </r>
  <r>
    <x v="106"/>
    <x v="106"/>
    <x v="106"/>
    <x v="3"/>
    <x v="3"/>
    <x v="3"/>
    <x v="11"/>
    <x v="105"/>
    <x v="106"/>
    <x v="106"/>
    <x v="105"/>
    <x v="106"/>
    <x v="106"/>
    <x v="106"/>
    <x v="2"/>
  </r>
  <r>
    <x v="107"/>
    <x v="107"/>
    <x v="107"/>
    <x v="14"/>
    <x v="1"/>
    <x v="0"/>
    <x v="23"/>
    <x v="106"/>
    <x v="107"/>
    <x v="107"/>
    <x v="106"/>
    <x v="107"/>
    <x v="107"/>
    <x v="107"/>
    <x v="9"/>
  </r>
  <r>
    <x v="108"/>
    <x v="108"/>
    <x v="108"/>
    <x v="6"/>
    <x v="2"/>
    <x v="3"/>
    <x v="19"/>
    <x v="107"/>
    <x v="108"/>
    <x v="108"/>
    <x v="107"/>
    <x v="108"/>
    <x v="108"/>
    <x v="108"/>
    <x v="5"/>
  </r>
  <r>
    <x v="109"/>
    <x v="109"/>
    <x v="109"/>
    <x v="13"/>
    <x v="1"/>
    <x v="0"/>
    <x v="6"/>
    <x v="108"/>
    <x v="109"/>
    <x v="109"/>
    <x v="108"/>
    <x v="109"/>
    <x v="109"/>
    <x v="109"/>
    <x v="5"/>
  </r>
  <r>
    <x v="110"/>
    <x v="110"/>
    <x v="110"/>
    <x v="5"/>
    <x v="3"/>
    <x v="0"/>
    <x v="24"/>
    <x v="109"/>
    <x v="110"/>
    <x v="110"/>
    <x v="109"/>
    <x v="110"/>
    <x v="110"/>
    <x v="110"/>
    <x v="3"/>
  </r>
  <r>
    <x v="111"/>
    <x v="111"/>
    <x v="111"/>
    <x v="26"/>
    <x v="1"/>
    <x v="1"/>
    <x v="20"/>
    <x v="78"/>
    <x v="111"/>
    <x v="111"/>
    <x v="110"/>
    <x v="111"/>
    <x v="111"/>
    <x v="111"/>
    <x v="5"/>
  </r>
  <r>
    <x v="112"/>
    <x v="112"/>
    <x v="112"/>
    <x v="2"/>
    <x v="0"/>
    <x v="3"/>
    <x v="24"/>
    <x v="110"/>
    <x v="112"/>
    <x v="112"/>
    <x v="111"/>
    <x v="112"/>
    <x v="112"/>
    <x v="112"/>
    <x v="6"/>
  </r>
  <r>
    <x v="113"/>
    <x v="113"/>
    <x v="113"/>
    <x v="15"/>
    <x v="1"/>
    <x v="1"/>
    <x v="5"/>
    <x v="111"/>
    <x v="113"/>
    <x v="113"/>
    <x v="112"/>
    <x v="113"/>
    <x v="113"/>
    <x v="113"/>
    <x v="7"/>
  </r>
  <r>
    <x v="114"/>
    <x v="114"/>
    <x v="114"/>
    <x v="0"/>
    <x v="1"/>
    <x v="3"/>
    <x v="16"/>
    <x v="112"/>
    <x v="114"/>
    <x v="114"/>
    <x v="113"/>
    <x v="114"/>
    <x v="114"/>
    <x v="114"/>
    <x v="7"/>
  </r>
  <r>
    <x v="115"/>
    <x v="115"/>
    <x v="115"/>
    <x v="12"/>
    <x v="0"/>
    <x v="3"/>
    <x v="19"/>
    <x v="113"/>
    <x v="115"/>
    <x v="115"/>
    <x v="114"/>
    <x v="115"/>
    <x v="115"/>
    <x v="115"/>
    <x v="9"/>
  </r>
  <r>
    <x v="116"/>
    <x v="116"/>
    <x v="116"/>
    <x v="18"/>
    <x v="2"/>
    <x v="3"/>
    <x v="2"/>
    <x v="114"/>
    <x v="116"/>
    <x v="116"/>
    <x v="115"/>
    <x v="116"/>
    <x v="116"/>
    <x v="116"/>
    <x v="0"/>
  </r>
  <r>
    <x v="117"/>
    <x v="117"/>
    <x v="117"/>
    <x v="1"/>
    <x v="0"/>
    <x v="3"/>
    <x v="3"/>
    <x v="115"/>
    <x v="117"/>
    <x v="117"/>
    <x v="116"/>
    <x v="117"/>
    <x v="117"/>
    <x v="117"/>
    <x v="3"/>
  </r>
  <r>
    <x v="118"/>
    <x v="118"/>
    <x v="118"/>
    <x v="6"/>
    <x v="2"/>
    <x v="2"/>
    <x v="6"/>
    <x v="116"/>
    <x v="118"/>
    <x v="118"/>
    <x v="117"/>
    <x v="118"/>
    <x v="118"/>
    <x v="118"/>
    <x v="9"/>
  </r>
  <r>
    <x v="119"/>
    <x v="119"/>
    <x v="119"/>
    <x v="24"/>
    <x v="2"/>
    <x v="2"/>
    <x v="18"/>
    <x v="117"/>
    <x v="119"/>
    <x v="119"/>
    <x v="118"/>
    <x v="119"/>
    <x v="119"/>
    <x v="119"/>
    <x v="6"/>
  </r>
  <r>
    <x v="120"/>
    <x v="120"/>
    <x v="120"/>
    <x v="16"/>
    <x v="3"/>
    <x v="3"/>
    <x v="3"/>
    <x v="118"/>
    <x v="120"/>
    <x v="120"/>
    <x v="119"/>
    <x v="120"/>
    <x v="120"/>
    <x v="120"/>
    <x v="4"/>
  </r>
  <r>
    <x v="121"/>
    <x v="121"/>
    <x v="121"/>
    <x v="22"/>
    <x v="2"/>
    <x v="3"/>
    <x v="1"/>
    <x v="119"/>
    <x v="121"/>
    <x v="121"/>
    <x v="120"/>
    <x v="121"/>
    <x v="121"/>
    <x v="121"/>
    <x v="2"/>
  </r>
  <r>
    <x v="122"/>
    <x v="122"/>
    <x v="122"/>
    <x v="19"/>
    <x v="3"/>
    <x v="1"/>
    <x v="15"/>
    <x v="120"/>
    <x v="122"/>
    <x v="122"/>
    <x v="121"/>
    <x v="122"/>
    <x v="122"/>
    <x v="122"/>
    <x v="4"/>
  </r>
  <r>
    <x v="123"/>
    <x v="123"/>
    <x v="123"/>
    <x v="5"/>
    <x v="1"/>
    <x v="3"/>
    <x v="12"/>
    <x v="121"/>
    <x v="123"/>
    <x v="123"/>
    <x v="122"/>
    <x v="123"/>
    <x v="123"/>
    <x v="123"/>
    <x v="9"/>
  </r>
  <r>
    <x v="124"/>
    <x v="124"/>
    <x v="124"/>
    <x v="21"/>
    <x v="0"/>
    <x v="1"/>
    <x v="13"/>
    <x v="122"/>
    <x v="124"/>
    <x v="124"/>
    <x v="123"/>
    <x v="124"/>
    <x v="124"/>
    <x v="124"/>
    <x v="6"/>
  </r>
  <r>
    <x v="125"/>
    <x v="125"/>
    <x v="125"/>
    <x v="18"/>
    <x v="0"/>
    <x v="2"/>
    <x v="13"/>
    <x v="123"/>
    <x v="125"/>
    <x v="125"/>
    <x v="124"/>
    <x v="125"/>
    <x v="125"/>
    <x v="125"/>
    <x v="10"/>
  </r>
  <r>
    <x v="126"/>
    <x v="126"/>
    <x v="126"/>
    <x v="28"/>
    <x v="3"/>
    <x v="3"/>
    <x v="13"/>
    <x v="124"/>
    <x v="126"/>
    <x v="126"/>
    <x v="125"/>
    <x v="126"/>
    <x v="126"/>
    <x v="126"/>
    <x v="8"/>
  </r>
  <r>
    <x v="127"/>
    <x v="127"/>
    <x v="127"/>
    <x v="26"/>
    <x v="1"/>
    <x v="2"/>
    <x v="3"/>
    <x v="125"/>
    <x v="127"/>
    <x v="127"/>
    <x v="126"/>
    <x v="127"/>
    <x v="127"/>
    <x v="127"/>
    <x v="6"/>
  </r>
  <r>
    <x v="128"/>
    <x v="128"/>
    <x v="128"/>
    <x v="25"/>
    <x v="1"/>
    <x v="3"/>
    <x v="24"/>
    <x v="126"/>
    <x v="128"/>
    <x v="128"/>
    <x v="127"/>
    <x v="128"/>
    <x v="128"/>
    <x v="128"/>
    <x v="1"/>
  </r>
  <r>
    <x v="129"/>
    <x v="129"/>
    <x v="129"/>
    <x v="22"/>
    <x v="0"/>
    <x v="1"/>
    <x v="22"/>
    <x v="127"/>
    <x v="129"/>
    <x v="129"/>
    <x v="128"/>
    <x v="129"/>
    <x v="129"/>
    <x v="129"/>
    <x v="3"/>
  </r>
  <r>
    <x v="130"/>
    <x v="130"/>
    <x v="130"/>
    <x v="7"/>
    <x v="0"/>
    <x v="2"/>
    <x v="18"/>
    <x v="128"/>
    <x v="130"/>
    <x v="130"/>
    <x v="129"/>
    <x v="130"/>
    <x v="130"/>
    <x v="130"/>
    <x v="7"/>
  </r>
  <r>
    <x v="131"/>
    <x v="131"/>
    <x v="131"/>
    <x v="4"/>
    <x v="2"/>
    <x v="1"/>
    <x v="0"/>
    <x v="129"/>
    <x v="131"/>
    <x v="131"/>
    <x v="130"/>
    <x v="131"/>
    <x v="131"/>
    <x v="131"/>
    <x v="6"/>
  </r>
  <r>
    <x v="132"/>
    <x v="132"/>
    <x v="132"/>
    <x v="12"/>
    <x v="2"/>
    <x v="2"/>
    <x v="17"/>
    <x v="130"/>
    <x v="132"/>
    <x v="132"/>
    <x v="131"/>
    <x v="132"/>
    <x v="132"/>
    <x v="132"/>
    <x v="3"/>
  </r>
  <r>
    <x v="133"/>
    <x v="133"/>
    <x v="133"/>
    <x v="17"/>
    <x v="1"/>
    <x v="3"/>
    <x v="19"/>
    <x v="131"/>
    <x v="133"/>
    <x v="133"/>
    <x v="132"/>
    <x v="133"/>
    <x v="133"/>
    <x v="133"/>
    <x v="7"/>
  </r>
  <r>
    <x v="134"/>
    <x v="134"/>
    <x v="134"/>
    <x v="15"/>
    <x v="2"/>
    <x v="3"/>
    <x v="25"/>
    <x v="132"/>
    <x v="134"/>
    <x v="134"/>
    <x v="133"/>
    <x v="134"/>
    <x v="134"/>
    <x v="134"/>
    <x v="10"/>
  </r>
  <r>
    <x v="135"/>
    <x v="135"/>
    <x v="135"/>
    <x v="5"/>
    <x v="0"/>
    <x v="3"/>
    <x v="22"/>
    <x v="133"/>
    <x v="135"/>
    <x v="135"/>
    <x v="134"/>
    <x v="135"/>
    <x v="135"/>
    <x v="135"/>
    <x v="3"/>
  </r>
  <r>
    <x v="136"/>
    <x v="136"/>
    <x v="136"/>
    <x v="6"/>
    <x v="3"/>
    <x v="3"/>
    <x v="17"/>
    <x v="134"/>
    <x v="136"/>
    <x v="136"/>
    <x v="135"/>
    <x v="136"/>
    <x v="136"/>
    <x v="136"/>
    <x v="3"/>
  </r>
  <r>
    <x v="137"/>
    <x v="137"/>
    <x v="137"/>
    <x v="1"/>
    <x v="1"/>
    <x v="0"/>
    <x v="20"/>
    <x v="135"/>
    <x v="137"/>
    <x v="137"/>
    <x v="136"/>
    <x v="137"/>
    <x v="137"/>
    <x v="137"/>
    <x v="5"/>
  </r>
  <r>
    <x v="138"/>
    <x v="138"/>
    <x v="138"/>
    <x v="9"/>
    <x v="3"/>
    <x v="2"/>
    <x v="0"/>
    <x v="136"/>
    <x v="138"/>
    <x v="138"/>
    <x v="137"/>
    <x v="138"/>
    <x v="138"/>
    <x v="138"/>
    <x v="8"/>
  </r>
  <r>
    <x v="139"/>
    <x v="139"/>
    <x v="139"/>
    <x v="20"/>
    <x v="3"/>
    <x v="0"/>
    <x v="11"/>
    <x v="137"/>
    <x v="139"/>
    <x v="139"/>
    <x v="138"/>
    <x v="139"/>
    <x v="139"/>
    <x v="139"/>
    <x v="10"/>
  </r>
  <r>
    <x v="140"/>
    <x v="140"/>
    <x v="140"/>
    <x v="18"/>
    <x v="1"/>
    <x v="2"/>
    <x v="22"/>
    <x v="138"/>
    <x v="140"/>
    <x v="140"/>
    <x v="139"/>
    <x v="140"/>
    <x v="140"/>
    <x v="140"/>
    <x v="2"/>
  </r>
  <r>
    <x v="141"/>
    <x v="141"/>
    <x v="141"/>
    <x v="0"/>
    <x v="2"/>
    <x v="2"/>
    <x v="17"/>
    <x v="139"/>
    <x v="141"/>
    <x v="141"/>
    <x v="140"/>
    <x v="141"/>
    <x v="141"/>
    <x v="141"/>
    <x v="10"/>
  </r>
  <r>
    <x v="142"/>
    <x v="142"/>
    <x v="142"/>
    <x v="16"/>
    <x v="2"/>
    <x v="0"/>
    <x v="11"/>
    <x v="140"/>
    <x v="142"/>
    <x v="142"/>
    <x v="141"/>
    <x v="142"/>
    <x v="142"/>
    <x v="142"/>
    <x v="5"/>
  </r>
  <r>
    <x v="143"/>
    <x v="143"/>
    <x v="143"/>
    <x v="1"/>
    <x v="0"/>
    <x v="0"/>
    <x v="2"/>
    <x v="141"/>
    <x v="143"/>
    <x v="143"/>
    <x v="142"/>
    <x v="143"/>
    <x v="143"/>
    <x v="143"/>
    <x v="1"/>
  </r>
  <r>
    <x v="144"/>
    <x v="144"/>
    <x v="144"/>
    <x v="15"/>
    <x v="0"/>
    <x v="1"/>
    <x v="12"/>
    <x v="142"/>
    <x v="144"/>
    <x v="144"/>
    <x v="143"/>
    <x v="144"/>
    <x v="144"/>
    <x v="144"/>
    <x v="6"/>
  </r>
  <r>
    <x v="145"/>
    <x v="145"/>
    <x v="145"/>
    <x v="6"/>
    <x v="1"/>
    <x v="2"/>
    <x v="21"/>
    <x v="143"/>
    <x v="145"/>
    <x v="145"/>
    <x v="144"/>
    <x v="145"/>
    <x v="145"/>
    <x v="145"/>
    <x v="7"/>
  </r>
  <r>
    <x v="146"/>
    <x v="146"/>
    <x v="146"/>
    <x v="0"/>
    <x v="1"/>
    <x v="2"/>
    <x v="11"/>
    <x v="144"/>
    <x v="146"/>
    <x v="146"/>
    <x v="145"/>
    <x v="146"/>
    <x v="146"/>
    <x v="146"/>
    <x v="6"/>
  </r>
  <r>
    <x v="147"/>
    <x v="147"/>
    <x v="147"/>
    <x v="21"/>
    <x v="0"/>
    <x v="3"/>
    <x v="25"/>
    <x v="145"/>
    <x v="147"/>
    <x v="147"/>
    <x v="133"/>
    <x v="134"/>
    <x v="134"/>
    <x v="134"/>
    <x v="1"/>
  </r>
  <r>
    <x v="148"/>
    <x v="148"/>
    <x v="148"/>
    <x v="13"/>
    <x v="0"/>
    <x v="2"/>
    <x v="23"/>
    <x v="146"/>
    <x v="148"/>
    <x v="148"/>
    <x v="146"/>
    <x v="147"/>
    <x v="147"/>
    <x v="147"/>
    <x v="9"/>
  </r>
  <r>
    <x v="149"/>
    <x v="149"/>
    <x v="149"/>
    <x v="29"/>
    <x v="1"/>
    <x v="1"/>
    <x v="25"/>
    <x v="132"/>
    <x v="149"/>
    <x v="149"/>
    <x v="133"/>
    <x v="134"/>
    <x v="134"/>
    <x v="134"/>
    <x v="8"/>
  </r>
  <r>
    <x v="150"/>
    <x v="150"/>
    <x v="150"/>
    <x v="0"/>
    <x v="3"/>
    <x v="3"/>
    <x v="7"/>
    <x v="147"/>
    <x v="150"/>
    <x v="150"/>
    <x v="147"/>
    <x v="148"/>
    <x v="148"/>
    <x v="148"/>
    <x v="3"/>
  </r>
  <r>
    <x v="151"/>
    <x v="151"/>
    <x v="151"/>
    <x v="28"/>
    <x v="2"/>
    <x v="0"/>
    <x v="22"/>
    <x v="148"/>
    <x v="151"/>
    <x v="151"/>
    <x v="148"/>
    <x v="149"/>
    <x v="149"/>
    <x v="149"/>
    <x v="2"/>
  </r>
  <r>
    <x v="152"/>
    <x v="152"/>
    <x v="152"/>
    <x v="8"/>
    <x v="3"/>
    <x v="2"/>
    <x v="25"/>
    <x v="149"/>
    <x v="152"/>
    <x v="152"/>
    <x v="133"/>
    <x v="134"/>
    <x v="134"/>
    <x v="134"/>
    <x v="2"/>
  </r>
  <r>
    <x v="153"/>
    <x v="153"/>
    <x v="153"/>
    <x v="15"/>
    <x v="3"/>
    <x v="0"/>
    <x v="20"/>
    <x v="150"/>
    <x v="153"/>
    <x v="153"/>
    <x v="149"/>
    <x v="150"/>
    <x v="150"/>
    <x v="150"/>
    <x v="5"/>
  </r>
  <r>
    <x v="154"/>
    <x v="154"/>
    <x v="154"/>
    <x v="1"/>
    <x v="0"/>
    <x v="0"/>
    <x v="23"/>
    <x v="151"/>
    <x v="154"/>
    <x v="154"/>
    <x v="150"/>
    <x v="151"/>
    <x v="151"/>
    <x v="151"/>
    <x v="9"/>
  </r>
  <r>
    <x v="155"/>
    <x v="155"/>
    <x v="155"/>
    <x v="14"/>
    <x v="3"/>
    <x v="0"/>
    <x v="0"/>
    <x v="152"/>
    <x v="149"/>
    <x v="155"/>
    <x v="151"/>
    <x v="152"/>
    <x v="152"/>
    <x v="152"/>
    <x v="6"/>
  </r>
  <r>
    <x v="156"/>
    <x v="156"/>
    <x v="156"/>
    <x v="11"/>
    <x v="2"/>
    <x v="0"/>
    <x v="19"/>
    <x v="153"/>
    <x v="155"/>
    <x v="156"/>
    <x v="152"/>
    <x v="153"/>
    <x v="153"/>
    <x v="153"/>
    <x v="8"/>
  </r>
  <r>
    <x v="157"/>
    <x v="157"/>
    <x v="157"/>
    <x v="13"/>
    <x v="1"/>
    <x v="0"/>
    <x v="3"/>
    <x v="154"/>
    <x v="156"/>
    <x v="157"/>
    <x v="153"/>
    <x v="154"/>
    <x v="154"/>
    <x v="154"/>
    <x v="2"/>
  </r>
  <r>
    <x v="158"/>
    <x v="158"/>
    <x v="158"/>
    <x v="7"/>
    <x v="1"/>
    <x v="1"/>
    <x v="8"/>
    <x v="155"/>
    <x v="157"/>
    <x v="158"/>
    <x v="154"/>
    <x v="155"/>
    <x v="155"/>
    <x v="155"/>
    <x v="5"/>
  </r>
  <r>
    <x v="159"/>
    <x v="159"/>
    <x v="159"/>
    <x v="6"/>
    <x v="3"/>
    <x v="2"/>
    <x v="9"/>
    <x v="156"/>
    <x v="158"/>
    <x v="159"/>
    <x v="155"/>
    <x v="156"/>
    <x v="156"/>
    <x v="156"/>
    <x v="5"/>
  </r>
  <r>
    <x v="160"/>
    <x v="160"/>
    <x v="160"/>
    <x v="11"/>
    <x v="3"/>
    <x v="0"/>
    <x v="14"/>
    <x v="157"/>
    <x v="159"/>
    <x v="160"/>
    <x v="156"/>
    <x v="157"/>
    <x v="157"/>
    <x v="157"/>
    <x v="1"/>
  </r>
  <r>
    <x v="161"/>
    <x v="161"/>
    <x v="161"/>
    <x v="12"/>
    <x v="0"/>
    <x v="3"/>
    <x v="7"/>
    <x v="158"/>
    <x v="160"/>
    <x v="161"/>
    <x v="157"/>
    <x v="158"/>
    <x v="158"/>
    <x v="158"/>
    <x v="8"/>
  </r>
  <r>
    <x v="162"/>
    <x v="162"/>
    <x v="162"/>
    <x v="17"/>
    <x v="3"/>
    <x v="0"/>
    <x v="25"/>
    <x v="159"/>
    <x v="161"/>
    <x v="30"/>
    <x v="133"/>
    <x v="134"/>
    <x v="134"/>
    <x v="134"/>
    <x v="9"/>
  </r>
  <r>
    <x v="163"/>
    <x v="163"/>
    <x v="163"/>
    <x v="17"/>
    <x v="0"/>
    <x v="1"/>
    <x v="6"/>
    <x v="160"/>
    <x v="162"/>
    <x v="162"/>
    <x v="158"/>
    <x v="159"/>
    <x v="159"/>
    <x v="159"/>
    <x v="0"/>
  </r>
  <r>
    <x v="164"/>
    <x v="164"/>
    <x v="164"/>
    <x v="22"/>
    <x v="3"/>
    <x v="1"/>
    <x v="17"/>
    <x v="161"/>
    <x v="163"/>
    <x v="163"/>
    <x v="159"/>
    <x v="160"/>
    <x v="160"/>
    <x v="160"/>
    <x v="7"/>
  </r>
  <r>
    <x v="165"/>
    <x v="165"/>
    <x v="165"/>
    <x v="5"/>
    <x v="2"/>
    <x v="2"/>
    <x v="5"/>
    <x v="162"/>
    <x v="164"/>
    <x v="164"/>
    <x v="160"/>
    <x v="161"/>
    <x v="161"/>
    <x v="161"/>
    <x v="9"/>
  </r>
  <r>
    <x v="166"/>
    <x v="166"/>
    <x v="166"/>
    <x v="12"/>
    <x v="3"/>
    <x v="2"/>
    <x v="14"/>
    <x v="163"/>
    <x v="165"/>
    <x v="165"/>
    <x v="161"/>
    <x v="162"/>
    <x v="162"/>
    <x v="162"/>
    <x v="3"/>
  </r>
  <r>
    <x v="167"/>
    <x v="167"/>
    <x v="167"/>
    <x v="23"/>
    <x v="0"/>
    <x v="2"/>
    <x v="1"/>
    <x v="164"/>
    <x v="166"/>
    <x v="166"/>
    <x v="162"/>
    <x v="163"/>
    <x v="163"/>
    <x v="163"/>
    <x v="2"/>
  </r>
  <r>
    <x v="168"/>
    <x v="168"/>
    <x v="168"/>
    <x v="0"/>
    <x v="3"/>
    <x v="1"/>
    <x v="25"/>
    <x v="165"/>
    <x v="167"/>
    <x v="167"/>
    <x v="133"/>
    <x v="134"/>
    <x v="134"/>
    <x v="134"/>
    <x v="6"/>
  </r>
  <r>
    <x v="169"/>
    <x v="169"/>
    <x v="169"/>
    <x v="2"/>
    <x v="0"/>
    <x v="0"/>
    <x v="24"/>
    <x v="166"/>
    <x v="168"/>
    <x v="168"/>
    <x v="163"/>
    <x v="164"/>
    <x v="164"/>
    <x v="164"/>
    <x v="6"/>
  </r>
  <r>
    <x v="170"/>
    <x v="170"/>
    <x v="170"/>
    <x v="28"/>
    <x v="0"/>
    <x v="3"/>
    <x v="10"/>
    <x v="167"/>
    <x v="169"/>
    <x v="169"/>
    <x v="164"/>
    <x v="165"/>
    <x v="165"/>
    <x v="165"/>
    <x v="9"/>
  </r>
  <r>
    <x v="171"/>
    <x v="171"/>
    <x v="171"/>
    <x v="1"/>
    <x v="3"/>
    <x v="1"/>
    <x v="24"/>
    <x v="168"/>
    <x v="170"/>
    <x v="170"/>
    <x v="165"/>
    <x v="166"/>
    <x v="166"/>
    <x v="166"/>
    <x v="6"/>
  </r>
  <r>
    <x v="172"/>
    <x v="172"/>
    <x v="172"/>
    <x v="15"/>
    <x v="3"/>
    <x v="2"/>
    <x v="19"/>
    <x v="169"/>
    <x v="171"/>
    <x v="171"/>
    <x v="166"/>
    <x v="167"/>
    <x v="167"/>
    <x v="167"/>
    <x v="6"/>
  </r>
  <r>
    <x v="173"/>
    <x v="173"/>
    <x v="173"/>
    <x v="15"/>
    <x v="0"/>
    <x v="0"/>
    <x v="24"/>
    <x v="170"/>
    <x v="172"/>
    <x v="172"/>
    <x v="167"/>
    <x v="168"/>
    <x v="168"/>
    <x v="168"/>
    <x v="10"/>
  </r>
  <r>
    <x v="174"/>
    <x v="174"/>
    <x v="174"/>
    <x v="17"/>
    <x v="0"/>
    <x v="1"/>
    <x v="10"/>
    <x v="171"/>
    <x v="173"/>
    <x v="173"/>
    <x v="168"/>
    <x v="169"/>
    <x v="169"/>
    <x v="169"/>
    <x v="4"/>
  </r>
  <r>
    <x v="175"/>
    <x v="175"/>
    <x v="175"/>
    <x v="24"/>
    <x v="3"/>
    <x v="2"/>
    <x v="11"/>
    <x v="172"/>
    <x v="174"/>
    <x v="174"/>
    <x v="169"/>
    <x v="170"/>
    <x v="170"/>
    <x v="170"/>
    <x v="4"/>
  </r>
  <r>
    <x v="176"/>
    <x v="176"/>
    <x v="175"/>
    <x v="24"/>
    <x v="3"/>
    <x v="2"/>
    <x v="11"/>
    <x v="172"/>
    <x v="174"/>
    <x v="174"/>
    <x v="169"/>
    <x v="170"/>
    <x v="170"/>
    <x v="170"/>
    <x v="8"/>
  </r>
  <r>
    <x v="177"/>
    <x v="177"/>
    <x v="176"/>
    <x v="4"/>
    <x v="3"/>
    <x v="0"/>
    <x v="17"/>
    <x v="173"/>
    <x v="175"/>
    <x v="175"/>
    <x v="170"/>
    <x v="171"/>
    <x v="171"/>
    <x v="171"/>
    <x v="9"/>
  </r>
  <r>
    <x v="178"/>
    <x v="178"/>
    <x v="177"/>
    <x v="4"/>
    <x v="0"/>
    <x v="2"/>
    <x v="11"/>
    <x v="174"/>
    <x v="176"/>
    <x v="176"/>
    <x v="171"/>
    <x v="172"/>
    <x v="172"/>
    <x v="172"/>
    <x v="4"/>
  </r>
  <r>
    <x v="179"/>
    <x v="179"/>
    <x v="178"/>
    <x v="10"/>
    <x v="3"/>
    <x v="1"/>
    <x v="14"/>
    <x v="175"/>
    <x v="177"/>
    <x v="177"/>
    <x v="172"/>
    <x v="173"/>
    <x v="173"/>
    <x v="173"/>
    <x v="11"/>
  </r>
  <r>
    <x v="180"/>
    <x v="180"/>
    <x v="179"/>
    <x v="14"/>
    <x v="2"/>
    <x v="2"/>
    <x v="16"/>
    <x v="176"/>
    <x v="178"/>
    <x v="178"/>
    <x v="173"/>
    <x v="174"/>
    <x v="174"/>
    <x v="174"/>
    <x v="4"/>
  </r>
  <r>
    <x v="181"/>
    <x v="181"/>
    <x v="180"/>
    <x v="24"/>
    <x v="0"/>
    <x v="2"/>
    <x v="11"/>
    <x v="177"/>
    <x v="179"/>
    <x v="179"/>
    <x v="174"/>
    <x v="175"/>
    <x v="175"/>
    <x v="175"/>
    <x v="3"/>
  </r>
  <r>
    <x v="182"/>
    <x v="182"/>
    <x v="181"/>
    <x v="12"/>
    <x v="2"/>
    <x v="0"/>
    <x v="10"/>
    <x v="178"/>
    <x v="180"/>
    <x v="180"/>
    <x v="175"/>
    <x v="176"/>
    <x v="176"/>
    <x v="176"/>
    <x v="10"/>
  </r>
  <r>
    <x v="183"/>
    <x v="183"/>
    <x v="182"/>
    <x v="19"/>
    <x v="1"/>
    <x v="2"/>
    <x v="22"/>
    <x v="179"/>
    <x v="181"/>
    <x v="181"/>
    <x v="176"/>
    <x v="177"/>
    <x v="177"/>
    <x v="177"/>
    <x v="2"/>
  </r>
  <r>
    <x v="184"/>
    <x v="184"/>
    <x v="183"/>
    <x v="18"/>
    <x v="0"/>
    <x v="3"/>
    <x v="16"/>
    <x v="180"/>
    <x v="182"/>
    <x v="182"/>
    <x v="177"/>
    <x v="178"/>
    <x v="178"/>
    <x v="178"/>
    <x v="0"/>
  </r>
  <r>
    <x v="185"/>
    <x v="185"/>
    <x v="184"/>
    <x v="5"/>
    <x v="0"/>
    <x v="0"/>
    <x v="7"/>
    <x v="181"/>
    <x v="183"/>
    <x v="183"/>
    <x v="178"/>
    <x v="179"/>
    <x v="179"/>
    <x v="179"/>
    <x v="5"/>
  </r>
  <r>
    <x v="186"/>
    <x v="186"/>
    <x v="185"/>
    <x v="18"/>
    <x v="0"/>
    <x v="0"/>
    <x v="9"/>
    <x v="182"/>
    <x v="184"/>
    <x v="184"/>
    <x v="179"/>
    <x v="180"/>
    <x v="180"/>
    <x v="180"/>
    <x v="6"/>
  </r>
  <r>
    <x v="187"/>
    <x v="187"/>
    <x v="186"/>
    <x v="3"/>
    <x v="2"/>
    <x v="3"/>
    <x v="23"/>
    <x v="183"/>
    <x v="185"/>
    <x v="185"/>
    <x v="180"/>
    <x v="181"/>
    <x v="181"/>
    <x v="181"/>
    <x v="0"/>
  </r>
  <r>
    <x v="188"/>
    <x v="188"/>
    <x v="187"/>
    <x v="4"/>
    <x v="3"/>
    <x v="1"/>
    <x v="23"/>
    <x v="184"/>
    <x v="186"/>
    <x v="186"/>
    <x v="181"/>
    <x v="182"/>
    <x v="182"/>
    <x v="182"/>
    <x v="1"/>
  </r>
  <r>
    <x v="189"/>
    <x v="189"/>
    <x v="188"/>
    <x v="26"/>
    <x v="0"/>
    <x v="2"/>
    <x v="0"/>
    <x v="185"/>
    <x v="187"/>
    <x v="187"/>
    <x v="182"/>
    <x v="183"/>
    <x v="183"/>
    <x v="183"/>
    <x v="6"/>
  </r>
  <r>
    <x v="190"/>
    <x v="190"/>
    <x v="188"/>
    <x v="26"/>
    <x v="0"/>
    <x v="2"/>
    <x v="0"/>
    <x v="185"/>
    <x v="187"/>
    <x v="187"/>
    <x v="182"/>
    <x v="183"/>
    <x v="183"/>
    <x v="183"/>
    <x v="10"/>
  </r>
  <r>
    <x v="191"/>
    <x v="191"/>
    <x v="189"/>
    <x v="7"/>
    <x v="1"/>
    <x v="2"/>
    <x v="22"/>
    <x v="186"/>
    <x v="188"/>
    <x v="188"/>
    <x v="183"/>
    <x v="184"/>
    <x v="184"/>
    <x v="184"/>
    <x v="0"/>
  </r>
  <r>
    <x v="192"/>
    <x v="192"/>
    <x v="190"/>
    <x v="20"/>
    <x v="3"/>
    <x v="2"/>
    <x v="8"/>
    <x v="187"/>
    <x v="156"/>
    <x v="189"/>
    <x v="184"/>
    <x v="185"/>
    <x v="185"/>
    <x v="185"/>
    <x v="8"/>
  </r>
  <r>
    <x v="193"/>
    <x v="193"/>
    <x v="191"/>
    <x v="6"/>
    <x v="1"/>
    <x v="0"/>
    <x v="12"/>
    <x v="188"/>
    <x v="189"/>
    <x v="190"/>
    <x v="185"/>
    <x v="186"/>
    <x v="186"/>
    <x v="186"/>
    <x v="4"/>
  </r>
  <r>
    <x v="194"/>
    <x v="194"/>
    <x v="192"/>
    <x v="15"/>
    <x v="0"/>
    <x v="0"/>
    <x v="3"/>
    <x v="189"/>
    <x v="190"/>
    <x v="191"/>
    <x v="186"/>
    <x v="187"/>
    <x v="187"/>
    <x v="187"/>
    <x v="10"/>
  </r>
  <r>
    <x v="195"/>
    <x v="195"/>
    <x v="193"/>
    <x v="9"/>
    <x v="2"/>
    <x v="0"/>
    <x v="19"/>
    <x v="190"/>
    <x v="191"/>
    <x v="192"/>
    <x v="187"/>
    <x v="188"/>
    <x v="188"/>
    <x v="188"/>
    <x v="5"/>
  </r>
  <r>
    <x v="196"/>
    <x v="196"/>
    <x v="194"/>
    <x v="16"/>
    <x v="2"/>
    <x v="0"/>
    <x v="25"/>
    <x v="191"/>
    <x v="192"/>
    <x v="193"/>
    <x v="133"/>
    <x v="134"/>
    <x v="134"/>
    <x v="134"/>
    <x v="4"/>
  </r>
  <r>
    <x v="197"/>
    <x v="197"/>
    <x v="195"/>
    <x v="4"/>
    <x v="3"/>
    <x v="3"/>
    <x v="11"/>
    <x v="192"/>
    <x v="193"/>
    <x v="194"/>
    <x v="188"/>
    <x v="189"/>
    <x v="189"/>
    <x v="189"/>
    <x v="5"/>
  </r>
  <r>
    <x v="198"/>
    <x v="198"/>
    <x v="196"/>
    <x v="3"/>
    <x v="3"/>
    <x v="3"/>
    <x v="17"/>
    <x v="193"/>
    <x v="194"/>
    <x v="195"/>
    <x v="189"/>
    <x v="190"/>
    <x v="190"/>
    <x v="190"/>
    <x v="6"/>
  </r>
  <r>
    <x v="199"/>
    <x v="199"/>
    <x v="197"/>
    <x v="24"/>
    <x v="0"/>
    <x v="1"/>
    <x v="12"/>
    <x v="194"/>
    <x v="195"/>
    <x v="196"/>
    <x v="190"/>
    <x v="191"/>
    <x v="191"/>
    <x v="191"/>
    <x v="10"/>
  </r>
  <r>
    <x v="200"/>
    <x v="200"/>
    <x v="198"/>
    <x v="14"/>
    <x v="1"/>
    <x v="1"/>
    <x v="0"/>
    <x v="195"/>
    <x v="196"/>
    <x v="197"/>
    <x v="191"/>
    <x v="192"/>
    <x v="192"/>
    <x v="192"/>
    <x v="2"/>
  </r>
  <r>
    <x v="201"/>
    <x v="201"/>
    <x v="199"/>
    <x v="1"/>
    <x v="2"/>
    <x v="2"/>
    <x v="19"/>
    <x v="196"/>
    <x v="197"/>
    <x v="198"/>
    <x v="192"/>
    <x v="193"/>
    <x v="193"/>
    <x v="193"/>
    <x v="0"/>
  </r>
  <r>
    <x v="202"/>
    <x v="202"/>
    <x v="200"/>
    <x v="19"/>
    <x v="3"/>
    <x v="1"/>
    <x v="4"/>
    <x v="197"/>
    <x v="198"/>
    <x v="199"/>
    <x v="193"/>
    <x v="194"/>
    <x v="194"/>
    <x v="194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K10" firstHeaderRow="1" firstDataRow="3" firstDataCol="1"/>
  <pivotFields count="14">
    <pivotField compact="0" numFmtId="177" showAll="0">
      <items count="204">
        <item x="27"/>
        <item x="121"/>
        <item x="17"/>
        <item x="183"/>
        <item x="152"/>
        <item x="33"/>
        <item x="151"/>
        <item x="140"/>
        <item x="157"/>
        <item x="200"/>
        <item x="21"/>
        <item x="167"/>
        <item x="3"/>
        <item x="94"/>
        <item x="15"/>
        <item x="74"/>
        <item x="80"/>
        <item x="106"/>
        <item x="54"/>
        <item x="4"/>
        <item x="135"/>
        <item x="129"/>
        <item x="98"/>
        <item x="32"/>
        <item x="132"/>
        <item x="181"/>
        <item x="104"/>
        <item x="166"/>
        <item x="150"/>
        <item x="92"/>
        <item x="136"/>
        <item x="110"/>
        <item x="117"/>
        <item x="65"/>
        <item x="176"/>
        <item x="12"/>
        <item x="149"/>
        <item x="35"/>
        <item x="84"/>
        <item x="192"/>
        <item x="138"/>
        <item x="161"/>
        <item x="89"/>
        <item x="53"/>
        <item x="56"/>
        <item x="31"/>
        <item x="20"/>
        <item x="103"/>
        <item x="156"/>
        <item x="126"/>
        <item x="202"/>
        <item x="175"/>
        <item x="122"/>
        <item x="174"/>
        <item x="180"/>
        <item x="120"/>
        <item x="66"/>
        <item x="19"/>
        <item x="5"/>
        <item x="37"/>
        <item x="88"/>
        <item x="11"/>
        <item x="178"/>
        <item x="196"/>
        <item x="193"/>
        <item x="169"/>
        <item x="124"/>
        <item x="131"/>
        <item x="186"/>
        <item x="198"/>
        <item x="172"/>
        <item x="8"/>
        <item x="105"/>
        <item x="95"/>
        <item x="155"/>
        <item x="34"/>
        <item x="171"/>
        <item x="168"/>
        <item x="112"/>
        <item x="64"/>
        <item x="189"/>
        <item x="127"/>
        <item x="144"/>
        <item x="146"/>
        <item x="119"/>
        <item x="141"/>
        <item x="26"/>
        <item x="63"/>
        <item x="199"/>
        <item x="190"/>
        <item x="102"/>
        <item x="68"/>
        <item x="41"/>
        <item x="125"/>
        <item x="194"/>
        <item x="134"/>
        <item x="182"/>
        <item x="39"/>
        <item x="139"/>
        <item x="100"/>
        <item x="43"/>
        <item x="173"/>
        <item x="2"/>
        <item x="101"/>
        <item x="61"/>
        <item x="147"/>
        <item x="62"/>
        <item x="38"/>
        <item x="55"/>
        <item x="143"/>
        <item x="25"/>
        <item x="14"/>
        <item x="160"/>
        <item x="59"/>
        <item x="128"/>
        <item x="6"/>
        <item x="50"/>
        <item x="51"/>
        <item x="22"/>
        <item x="188"/>
        <item x="123"/>
        <item x="71"/>
        <item x="49"/>
        <item x="118"/>
        <item x="148"/>
        <item x="76"/>
        <item x="165"/>
        <item x="78"/>
        <item x="52"/>
        <item x="170"/>
        <item x="96"/>
        <item x="99"/>
        <item x="48"/>
        <item x="67"/>
        <item x="154"/>
        <item x="177"/>
        <item x="93"/>
        <item x="23"/>
        <item x="162"/>
        <item x="30"/>
        <item x="107"/>
        <item x="86"/>
        <item x="115"/>
        <item x="70"/>
        <item x="42"/>
        <item x="111"/>
        <item x="195"/>
        <item x="40"/>
        <item x="142"/>
        <item x="9"/>
        <item x="58"/>
        <item x="197"/>
        <item x="109"/>
        <item x="185"/>
        <item x="153"/>
        <item x="108"/>
        <item x="158"/>
        <item x="137"/>
        <item x="159"/>
        <item x="82"/>
        <item x="44"/>
        <item x="91"/>
        <item x="7"/>
        <item x="24"/>
        <item x="114"/>
        <item x="36"/>
        <item x="57"/>
        <item x="113"/>
        <item x="145"/>
        <item x="10"/>
        <item x="69"/>
        <item x="133"/>
        <item x="130"/>
        <item x="73"/>
        <item x="164"/>
        <item x="72"/>
        <item x="77"/>
        <item x="46"/>
        <item x="47"/>
        <item x="75"/>
        <item x="16"/>
        <item x="90"/>
        <item x="201"/>
        <item x="184"/>
        <item x="81"/>
        <item x="97"/>
        <item x="18"/>
        <item x="163"/>
        <item x="187"/>
        <item x="85"/>
        <item x="29"/>
        <item x="28"/>
        <item x="45"/>
        <item x="0"/>
        <item x="87"/>
        <item x="79"/>
        <item x="191"/>
        <item x="1"/>
        <item x="116"/>
        <item x="13"/>
        <item x="83"/>
        <item x="60"/>
        <item x="179"/>
        <item t="default"/>
      </items>
    </pivotField>
    <pivotField compact="0" numFmtId="176" showAll="0">
      <items count="204">
        <item x="27"/>
        <item x="121"/>
        <item x="17"/>
        <item x="183"/>
        <item x="152"/>
        <item x="33"/>
        <item x="151"/>
        <item x="140"/>
        <item x="157"/>
        <item x="200"/>
        <item x="21"/>
        <item x="167"/>
        <item x="3"/>
        <item x="94"/>
        <item x="15"/>
        <item x="74"/>
        <item x="80"/>
        <item x="106"/>
        <item x="54"/>
        <item x="4"/>
        <item x="135"/>
        <item x="129"/>
        <item x="98"/>
        <item x="32"/>
        <item x="132"/>
        <item x="181"/>
        <item x="104"/>
        <item x="166"/>
        <item x="150"/>
        <item x="92"/>
        <item x="136"/>
        <item x="110"/>
        <item x="117"/>
        <item x="65"/>
        <item x="176"/>
        <item x="12"/>
        <item x="149"/>
        <item x="35"/>
        <item x="84"/>
        <item x="192"/>
        <item x="138"/>
        <item x="161"/>
        <item x="89"/>
        <item x="53"/>
        <item x="56"/>
        <item x="31"/>
        <item x="20"/>
        <item x="103"/>
        <item x="156"/>
        <item x="126"/>
        <item x="202"/>
        <item x="175"/>
        <item x="122"/>
        <item x="174"/>
        <item x="180"/>
        <item x="120"/>
        <item x="66"/>
        <item x="19"/>
        <item x="5"/>
        <item x="37"/>
        <item x="88"/>
        <item x="11"/>
        <item x="178"/>
        <item x="196"/>
        <item x="193"/>
        <item x="169"/>
        <item x="124"/>
        <item x="131"/>
        <item x="186"/>
        <item x="198"/>
        <item x="172"/>
        <item x="8"/>
        <item x="105"/>
        <item x="95"/>
        <item x="155"/>
        <item x="34"/>
        <item x="171"/>
        <item x="168"/>
        <item x="112"/>
        <item x="64"/>
        <item x="189"/>
        <item x="127"/>
        <item x="144"/>
        <item x="146"/>
        <item x="119"/>
        <item x="141"/>
        <item x="26"/>
        <item x="63"/>
        <item x="199"/>
        <item x="190"/>
        <item x="102"/>
        <item x="68"/>
        <item x="41"/>
        <item x="125"/>
        <item x="194"/>
        <item x="134"/>
        <item x="182"/>
        <item x="39"/>
        <item x="139"/>
        <item x="100"/>
        <item x="43"/>
        <item x="173"/>
        <item x="2"/>
        <item x="101"/>
        <item x="61"/>
        <item x="147"/>
        <item x="62"/>
        <item x="38"/>
        <item x="55"/>
        <item x="143"/>
        <item x="25"/>
        <item x="14"/>
        <item x="160"/>
        <item x="59"/>
        <item x="128"/>
        <item x="6"/>
        <item x="50"/>
        <item x="51"/>
        <item x="22"/>
        <item x="188"/>
        <item x="123"/>
        <item x="71"/>
        <item x="49"/>
        <item x="118"/>
        <item x="148"/>
        <item x="76"/>
        <item x="165"/>
        <item x="78"/>
        <item x="52"/>
        <item x="170"/>
        <item x="96"/>
        <item x="99"/>
        <item x="48"/>
        <item x="67"/>
        <item x="154"/>
        <item x="177"/>
        <item x="93"/>
        <item x="23"/>
        <item x="162"/>
        <item x="30"/>
        <item x="107"/>
        <item x="86"/>
        <item x="115"/>
        <item x="70"/>
        <item x="42"/>
        <item x="111"/>
        <item x="195"/>
        <item x="40"/>
        <item x="142"/>
        <item x="9"/>
        <item x="58"/>
        <item x="197"/>
        <item x="109"/>
        <item x="185"/>
        <item x="153"/>
        <item x="108"/>
        <item x="158"/>
        <item x="137"/>
        <item x="159"/>
        <item x="82"/>
        <item x="44"/>
        <item x="91"/>
        <item x="7"/>
        <item x="24"/>
        <item x="114"/>
        <item x="36"/>
        <item x="57"/>
        <item x="113"/>
        <item x="145"/>
        <item x="10"/>
        <item x="69"/>
        <item x="133"/>
        <item x="130"/>
        <item x="73"/>
        <item x="164"/>
        <item x="72"/>
        <item x="77"/>
        <item x="46"/>
        <item x="47"/>
        <item x="75"/>
        <item x="16"/>
        <item x="90"/>
        <item x="201"/>
        <item x="184"/>
        <item x="81"/>
        <item x="97"/>
        <item x="18"/>
        <item x="163"/>
        <item x="187"/>
        <item x="85"/>
        <item x="29"/>
        <item x="28"/>
        <item x="45"/>
        <item x="0"/>
        <item x="87"/>
        <item x="79"/>
        <item x="191"/>
        <item x="1"/>
        <item x="116"/>
        <item x="13"/>
        <item x="83"/>
        <item x="60"/>
        <item x="179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31">
        <item x="7"/>
        <item x="20"/>
        <item x="3"/>
        <item x="16"/>
        <item x="6"/>
        <item x="28"/>
        <item x="29"/>
        <item x="0"/>
        <item x="22"/>
        <item x="26"/>
        <item x="19"/>
        <item x="23"/>
        <item x="13"/>
        <item x="18"/>
        <item x="1"/>
        <item x="24"/>
        <item x="8"/>
        <item x="11"/>
        <item x="12"/>
        <item x="10"/>
        <item x="17"/>
        <item x="15"/>
        <item x="5"/>
        <item x="4"/>
        <item x="21"/>
        <item x="2"/>
        <item x="25"/>
        <item x="14"/>
        <item x="9"/>
        <item x="27"/>
        <item t="default"/>
      </items>
    </pivotField>
    <pivotField axis="axisCol" compact="0" multipleItemSelectionAllowed="1" showAll="0">
      <items count="5">
        <item x="3"/>
        <item x="0"/>
        <item x="1"/>
        <item x="2"/>
        <item t="default"/>
      </items>
    </pivotField>
    <pivotField axis="axisRow" compact="0" multipleItemSelectionAllowed="1" showAll="0">
      <items count="5">
        <item x="3"/>
        <item x="0"/>
        <item x="1"/>
        <item x="2"/>
        <item t="default"/>
      </items>
    </pivotField>
    <pivotField dataField="1" compact="0" showAll="0">
      <items count="27">
        <item x="25"/>
        <item x="0"/>
        <item x="11"/>
        <item x="9"/>
        <item x="5"/>
        <item x="6"/>
        <item x="18"/>
        <item x="21"/>
        <item x="16"/>
        <item x="2"/>
        <item x="1"/>
        <item x="3"/>
        <item x="8"/>
        <item x="12"/>
        <item x="10"/>
        <item x="7"/>
        <item x="20"/>
        <item x="17"/>
        <item x="19"/>
        <item x="15"/>
        <item x="23"/>
        <item x="22"/>
        <item x="24"/>
        <item x="13"/>
        <item x="4"/>
        <item x="14"/>
        <item t="default"/>
      </items>
    </pivotField>
    <pivotField compact="0" showAll="0">
      <items count="199">
        <item x="149"/>
        <item x="194"/>
        <item x="35"/>
        <item x="0"/>
        <item x="107"/>
        <item x="113"/>
        <item x="83"/>
        <item x="118"/>
        <item x="148"/>
        <item x="154"/>
        <item x="175"/>
        <item x="196"/>
        <item x="181"/>
        <item x="126"/>
        <item x="187"/>
        <item x="184"/>
        <item x="156"/>
        <item x="180"/>
        <item x="59"/>
        <item x="140"/>
        <item x="182"/>
        <item x="7"/>
        <item x="73"/>
        <item x="85"/>
        <item x="169"/>
        <item x="45"/>
        <item x="17"/>
        <item x="13"/>
        <item x="170"/>
        <item x="153"/>
        <item x="56"/>
        <item x="158"/>
        <item x="150"/>
        <item x="22"/>
        <item x="80"/>
        <item x="96"/>
        <item x="8"/>
        <item x="3"/>
        <item x="186"/>
        <item x="40"/>
        <item x="161"/>
        <item x="62"/>
        <item x="92"/>
        <item x="112"/>
        <item x="135"/>
        <item x="145"/>
        <item x="15"/>
        <item x="78"/>
        <item x="55"/>
        <item x="152"/>
        <item x="167"/>
        <item x="141"/>
        <item x="71"/>
        <item x="41"/>
        <item x="191"/>
        <item x="29"/>
        <item x="5"/>
        <item x="51"/>
        <item x="46"/>
        <item x="132"/>
        <item x="19"/>
        <item x="81"/>
        <item x="87"/>
        <item x="1"/>
        <item x="36"/>
        <item x="94"/>
        <item x="143"/>
        <item x="76"/>
        <item x="120"/>
        <item x="157"/>
        <item x="105"/>
        <item x="90"/>
        <item x="104"/>
        <item x="64"/>
        <item x="146"/>
        <item x="68"/>
        <item x="43"/>
        <item x="97"/>
        <item x="106"/>
        <item x="33"/>
        <item x="99"/>
        <item x="139"/>
        <item x="74"/>
        <item x="75"/>
        <item x="155"/>
        <item x="111"/>
        <item x="25"/>
        <item x="174"/>
        <item x="32"/>
        <item x="109"/>
        <item x="98"/>
        <item x="166"/>
        <item x="193"/>
        <item x="84"/>
        <item x="102"/>
        <item x="103"/>
        <item x="14"/>
        <item x="165"/>
        <item x="114"/>
        <item x="108"/>
        <item x="133"/>
        <item x="89"/>
        <item x="189"/>
        <item x="130"/>
        <item x="144"/>
        <item x="34"/>
        <item x="70"/>
        <item x="63"/>
        <item x="142"/>
        <item x="119"/>
        <item x="136"/>
        <item x="125"/>
        <item x="172"/>
        <item x="100"/>
        <item x="192"/>
        <item x="58"/>
        <item x="21"/>
        <item x="117"/>
        <item x="121"/>
        <item x="197"/>
        <item x="65"/>
        <item x="31"/>
        <item x="93"/>
        <item x="47"/>
        <item x="171"/>
        <item x="122"/>
        <item x="54"/>
        <item x="190"/>
        <item x="86"/>
        <item x="162"/>
        <item x="177"/>
        <item x="61"/>
        <item x="178"/>
        <item x="12"/>
        <item x="48"/>
        <item x="131"/>
        <item x="16"/>
        <item x="27"/>
        <item x="124"/>
        <item x="44"/>
        <item x="91"/>
        <item x="23"/>
        <item x="79"/>
        <item x="110"/>
        <item x="123"/>
        <item x="188"/>
        <item x="88"/>
        <item x="67"/>
        <item x="101"/>
        <item x="183"/>
        <item x="50"/>
        <item x="128"/>
        <item x="151"/>
        <item x="179"/>
        <item x="82"/>
        <item x="4"/>
        <item x="39"/>
        <item x="185"/>
        <item x="6"/>
        <item x="168"/>
        <item x="116"/>
        <item x="53"/>
        <item x="9"/>
        <item x="173"/>
        <item x="20"/>
        <item x="2"/>
        <item x="57"/>
        <item x="37"/>
        <item x="60"/>
        <item x="11"/>
        <item x="176"/>
        <item x="18"/>
        <item x="30"/>
        <item x="28"/>
        <item x="127"/>
        <item x="69"/>
        <item x="66"/>
        <item x="134"/>
        <item x="49"/>
        <item x="42"/>
        <item x="159"/>
        <item x="26"/>
        <item x="77"/>
        <item x="138"/>
        <item x="160"/>
        <item x="38"/>
        <item x="164"/>
        <item x="95"/>
        <item x="147"/>
        <item x="24"/>
        <item x="163"/>
        <item x="195"/>
        <item x="115"/>
        <item x="137"/>
        <item x="72"/>
        <item x="10"/>
        <item x="52"/>
        <item x="129"/>
        <item t="default"/>
      </items>
    </pivotField>
    <pivotField compact="0" showAll="0">
      <items count="200">
        <item x="152"/>
        <item x="115"/>
        <item x="197"/>
        <item x="59"/>
        <item x="182"/>
        <item x="108"/>
        <item x="177"/>
        <item x="84"/>
        <item x="0"/>
        <item x="35"/>
        <item x="45"/>
        <item x="195"/>
        <item x="120"/>
        <item x="163"/>
        <item x="70"/>
        <item x="151"/>
        <item x="184"/>
        <item x="183"/>
        <item x="158"/>
        <item x="160"/>
        <item x="186"/>
        <item x="156"/>
        <item x="7"/>
        <item x="74"/>
        <item x="128"/>
        <item x="171"/>
        <item x="137"/>
        <item x="55"/>
        <item x="81"/>
        <item x="17"/>
        <item x="13"/>
        <item x="46"/>
        <item x="114"/>
        <item x="169"/>
        <item x="82"/>
        <item x="142"/>
        <item x="153"/>
        <item x="172"/>
        <item x="97"/>
        <item x="56"/>
        <item x="5"/>
        <item x="86"/>
        <item x="3"/>
        <item x="62"/>
        <item x="192"/>
        <item x="40"/>
        <item x="155"/>
        <item x="77"/>
        <item x="113"/>
        <item x="168"/>
        <item x="22"/>
        <item x="159"/>
        <item x="76"/>
        <item x="36"/>
        <item x="143"/>
        <item x="8"/>
        <item x="72"/>
        <item x="95"/>
        <item x="68"/>
        <item x="88"/>
        <item x="41"/>
        <item x="147"/>
        <item x="15"/>
        <item x="149"/>
        <item x="146"/>
        <item x="188"/>
        <item x="93"/>
        <item x="141"/>
        <item x="43"/>
        <item x="106"/>
        <item x="111"/>
        <item x="32"/>
        <item x="79"/>
        <item x="132"/>
        <item x="134"/>
        <item x="19"/>
        <item x="25"/>
        <item x="29"/>
        <item x="121"/>
        <item x="194"/>
        <item x="91"/>
        <item x="21"/>
        <item x="122"/>
        <item x="148"/>
        <item x="1"/>
        <item x="90"/>
        <item x="179"/>
        <item x="33"/>
        <item x="23"/>
        <item x="198"/>
        <item x="85"/>
        <item x="51"/>
        <item x="124"/>
        <item x="100"/>
        <item x="94"/>
        <item x="174"/>
        <item x="145"/>
        <item x="189"/>
        <item x="105"/>
        <item x="16"/>
        <item x="4"/>
        <item x="102"/>
        <item x="54"/>
        <item x="64"/>
        <item x="48"/>
        <item x="138"/>
        <item x="119"/>
        <item x="6"/>
        <item x="67"/>
        <item x="71"/>
        <item x="144"/>
        <item x="170"/>
        <item x="157"/>
        <item x="166"/>
        <item x="107"/>
        <item x="126"/>
        <item x="75"/>
        <item x="38"/>
        <item x="103"/>
        <item x="109"/>
        <item x="110"/>
        <item x="47"/>
        <item x="176"/>
        <item x="116"/>
        <item x="187"/>
        <item x="18"/>
        <item x="80"/>
        <item x="50"/>
        <item x="98"/>
        <item x="130"/>
        <item x="61"/>
        <item x="12"/>
        <item x="83"/>
        <item x="135"/>
        <item x="28"/>
        <item x="31"/>
        <item x="140"/>
        <item x="37"/>
        <item x="191"/>
        <item x="11"/>
        <item x="190"/>
        <item x="30"/>
        <item x="87"/>
        <item x="101"/>
        <item x="154"/>
        <item x="129"/>
        <item x="193"/>
        <item x="14"/>
        <item x="127"/>
        <item x="65"/>
        <item x="20"/>
        <item x="167"/>
        <item x="34"/>
        <item x="60"/>
        <item x="123"/>
        <item x="39"/>
        <item x="58"/>
        <item x="164"/>
        <item x="125"/>
        <item x="133"/>
        <item x="27"/>
        <item x="92"/>
        <item x="196"/>
        <item x="99"/>
        <item x="162"/>
        <item x="53"/>
        <item x="139"/>
        <item x="63"/>
        <item x="69"/>
        <item x="185"/>
        <item x="66"/>
        <item x="104"/>
        <item x="9"/>
        <item x="44"/>
        <item x="117"/>
        <item x="181"/>
        <item x="180"/>
        <item x="173"/>
        <item x="112"/>
        <item x="10"/>
        <item x="150"/>
        <item x="57"/>
        <item x="118"/>
        <item x="131"/>
        <item x="49"/>
        <item x="89"/>
        <item x="161"/>
        <item x="26"/>
        <item x="175"/>
        <item x="24"/>
        <item x="78"/>
        <item x="2"/>
        <item x="42"/>
        <item x="178"/>
        <item x="136"/>
        <item x="96"/>
        <item x="165"/>
        <item x="73"/>
        <item x="52"/>
        <item t="default"/>
      </items>
    </pivotField>
    <pivotField compact="0" showAll="0">
      <items count="201">
        <item x="80"/>
        <item x="138"/>
        <item x="64"/>
        <item x="0"/>
        <item x="35"/>
        <item x="174"/>
        <item x="175"/>
        <item x="58"/>
        <item x="197"/>
        <item x="194"/>
        <item x="192"/>
        <item x="130"/>
        <item x="15"/>
        <item x="46"/>
        <item x="72"/>
        <item x="29"/>
        <item x="188"/>
        <item x="48"/>
        <item x="99"/>
        <item x="28"/>
        <item x="158"/>
        <item x="167"/>
        <item x="190"/>
        <item x="129"/>
        <item x="1"/>
        <item x="73"/>
        <item x="100"/>
        <item x="83"/>
        <item x="113"/>
        <item x="50"/>
        <item x="9"/>
        <item x="20"/>
        <item x="151"/>
        <item x="96"/>
        <item x="69"/>
        <item x="59"/>
        <item x="193"/>
        <item x="19"/>
        <item x="107"/>
        <item x="14"/>
        <item x="191"/>
        <item x="150"/>
        <item x="171"/>
        <item x="139"/>
        <item x="94"/>
        <item x="118"/>
        <item x="66"/>
        <item x="111"/>
        <item x="176"/>
        <item x="102"/>
        <item x="178"/>
        <item x="166"/>
        <item x="109"/>
        <item x="44"/>
        <item x="189"/>
        <item x="127"/>
        <item x="198"/>
        <item x="45"/>
        <item x="116"/>
        <item x="161"/>
        <item x="27"/>
        <item x="21"/>
        <item x="88"/>
        <item x="135"/>
        <item x="38"/>
        <item x="53"/>
        <item x="4"/>
        <item x="32"/>
        <item x="157"/>
        <item x="86"/>
        <item x="74"/>
        <item x="120"/>
        <item x="105"/>
        <item x="79"/>
        <item x="39"/>
        <item x="108"/>
        <item x="146"/>
        <item x="41"/>
        <item x="68"/>
        <item x="6"/>
        <item x="62"/>
        <item x="184"/>
        <item x="187"/>
        <item x="91"/>
        <item x="160"/>
        <item x="71"/>
        <item x="24"/>
        <item x="78"/>
        <item x="149"/>
        <item x="82"/>
        <item x="85"/>
        <item x="90"/>
        <item x="185"/>
        <item x="75"/>
        <item x="183"/>
        <item x="141"/>
        <item x="199"/>
        <item x="23"/>
        <item x="37"/>
        <item x="126"/>
        <item x="173"/>
        <item x="93"/>
        <item x="42"/>
        <item x="70"/>
        <item x="148"/>
        <item x="132"/>
        <item x="179"/>
        <item x="10"/>
        <item x="101"/>
        <item x="152"/>
        <item x="95"/>
        <item x="177"/>
        <item x="54"/>
        <item x="154"/>
        <item x="125"/>
        <item x="117"/>
        <item x="155"/>
        <item x="89"/>
        <item x="172"/>
        <item x="2"/>
        <item x="143"/>
        <item x="87"/>
        <item x="5"/>
        <item x="165"/>
        <item x="119"/>
        <item x="142"/>
        <item x="121"/>
        <item x="25"/>
        <item x="186"/>
        <item x="40"/>
        <item x="65"/>
        <item x="114"/>
        <item x="133"/>
        <item x="169"/>
        <item x="144"/>
        <item x="104"/>
        <item x="76"/>
        <item x="49"/>
        <item x="26"/>
        <item x="182"/>
        <item x="11"/>
        <item x="124"/>
        <item x="123"/>
        <item x="196"/>
        <item x="61"/>
        <item x="162"/>
        <item x="3"/>
        <item x="168"/>
        <item x="164"/>
        <item x="106"/>
        <item x="60"/>
        <item x="163"/>
        <item x="56"/>
        <item x="147"/>
        <item x="128"/>
        <item x="159"/>
        <item x="195"/>
        <item x="180"/>
        <item x="30"/>
        <item x="103"/>
        <item x="153"/>
        <item x="112"/>
        <item x="136"/>
        <item x="31"/>
        <item x="97"/>
        <item x="18"/>
        <item x="36"/>
        <item x="51"/>
        <item x="181"/>
        <item x="122"/>
        <item x="110"/>
        <item x="137"/>
        <item x="140"/>
        <item x="12"/>
        <item x="57"/>
        <item x="170"/>
        <item x="13"/>
        <item x="16"/>
        <item x="34"/>
        <item x="33"/>
        <item x="47"/>
        <item x="145"/>
        <item x="8"/>
        <item x="84"/>
        <item x="156"/>
        <item x="17"/>
        <item x="98"/>
        <item x="131"/>
        <item x="92"/>
        <item x="81"/>
        <item x="55"/>
        <item x="115"/>
        <item x="77"/>
        <item x="7"/>
        <item x="134"/>
        <item x="67"/>
        <item x="52"/>
        <item x="22"/>
        <item x="63"/>
        <item x="43"/>
        <item t="default"/>
      </items>
    </pivotField>
    <pivotField dataField="1" compact="0" showAll="0">
      <items count="195">
        <item x="133"/>
        <item x="0"/>
        <item x="151"/>
        <item x="29"/>
        <item x="46"/>
        <item x="141"/>
        <item x="155"/>
        <item x="179"/>
        <item x="137"/>
        <item x="55"/>
        <item x="105"/>
        <item x="182"/>
        <item x="11"/>
        <item x="97"/>
        <item x="191"/>
        <item x="171"/>
        <item x="130"/>
        <item x="89"/>
        <item x="76"/>
        <item x="145"/>
        <item x="169"/>
        <item x="188"/>
        <item x="5"/>
        <item x="174"/>
        <item x="19"/>
        <item x="16"/>
        <item x="177"/>
        <item x="119"/>
        <item x="190"/>
        <item x="153"/>
        <item x="18"/>
        <item x="66"/>
        <item x="26"/>
        <item x="24"/>
        <item x="112"/>
        <item x="138"/>
        <item x="7"/>
        <item x="12"/>
        <item x="184"/>
        <item x="35"/>
        <item x="113"/>
        <item x="107"/>
        <item x="92"/>
        <item x="80"/>
        <item x="114"/>
        <item x="178"/>
        <item x="144"/>
        <item x="17"/>
        <item x="59"/>
        <item x="15"/>
        <item x="160"/>
        <item x="3"/>
        <item x="108"/>
        <item x="142"/>
        <item x="192"/>
        <item x="148"/>
        <item x="13"/>
        <item x="83"/>
        <item x="71"/>
        <item x="73"/>
        <item x="99"/>
        <item x="40"/>
        <item x="157"/>
        <item x="1"/>
        <item x="181"/>
        <item x="45"/>
        <item x="166"/>
        <item x="149"/>
        <item x="118"/>
        <item x="127"/>
        <item x="172"/>
        <item x="56"/>
        <item x="72"/>
        <item x="32"/>
        <item x="85"/>
        <item x="6"/>
        <item x="152"/>
        <item x="117"/>
        <item x="36"/>
        <item x="100"/>
        <item x="58"/>
        <item x="164"/>
        <item x="159"/>
        <item x="41"/>
        <item x="81"/>
        <item x="136"/>
        <item x="65"/>
        <item x="78"/>
        <item x="129"/>
        <item x="82"/>
        <item x="115"/>
        <item x="110"/>
        <item x="158"/>
        <item x="38"/>
        <item x="104"/>
        <item x="52"/>
        <item x="167"/>
        <item x="37"/>
        <item x="183"/>
        <item x="22"/>
        <item x="48"/>
        <item x="74"/>
        <item x="79"/>
        <item x="96"/>
        <item x="154"/>
        <item x="8"/>
        <item x="120"/>
        <item x="68"/>
        <item x="101"/>
        <item x="51"/>
        <item x="186"/>
        <item x="70"/>
        <item x="49"/>
        <item x="62"/>
        <item x="33"/>
        <item x="126"/>
        <item x="94"/>
        <item x="21"/>
        <item x="67"/>
        <item x="173"/>
        <item x="121"/>
        <item x="98"/>
        <item x="34"/>
        <item x="64"/>
        <item x="2"/>
        <item x="57"/>
        <item x="43"/>
        <item x="143"/>
        <item x="14"/>
        <item x="90"/>
        <item x="122"/>
        <item x="140"/>
        <item x="146"/>
        <item x="27"/>
        <item x="87"/>
        <item x="189"/>
        <item x="103"/>
        <item x="31"/>
        <item x="168"/>
        <item x="75"/>
        <item x="106"/>
        <item x="25"/>
        <item x="175"/>
        <item x="162"/>
        <item x="131"/>
        <item x="84"/>
        <item x="156"/>
        <item x="185"/>
        <item x="54"/>
        <item x="53"/>
        <item x="116"/>
        <item x="102"/>
        <item x="20"/>
        <item x="109"/>
        <item x="163"/>
        <item x="134"/>
        <item x="10"/>
        <item x="187"/>
        <item x="63"/>
        <item x="9"/>
        <item x="95"/>
        <item x="132"/>
        <item x="69"/>
        <item x="170"/>
        <item x="39"/>
        <item x="147"/>
        <item x="91"/>
        <item x="50"/>
        <item x="193"/>
        <item x="123"/>
        <item x="42"/>
        <item x="180"/>
        <item x="135"/>
        <item x="150"/>
        <item x="93"/>
        <item x="86"/>
        <item x="61"/>
        <item x="125"/>
        <item x="47"/>
        <item x="111"/>
        <item x="176"/>
        <item x="77"/>
        <item x="44"/>
        <item x="124"/>
        <item x="165"/>
        <item x="23"/>
        <item x="60"/>
        <item x="88"/>
        <item x="4"/>
        <item x="128"/>
        <item x="139"/>
        <item x="30"/>
        <item x="28"/>
        <item x="161"/>
        <item t="default"/>
      </items>
    </pivotField>
    <pivotField compact="0" showAll="0">
      <items count="196">
        <item x="134"/>
        <item x="0"/>
        <item x="46"/>
        <item x="152"/>
        <item x="55"/>
        <item x="29"/>
        <item x="142"/>
        <item x="180"/>
        <item x="138"/>
        <item x="156"/>
        <item x="183"/>
        <item x="11"/>
        <item x="146"/>
        <item x="106"/>
        <item x="192"/>
        <item x="90"/>
        <item x="175"/>
        <item x="77"/>
        <item x="170"/>
        <item x="178"/>
        <item x="16"/>
        <item x="131"/>
        <item x="5"/>
        <item x="113"/>
        <item x="172"/>
        <item x="18"/>
        <item x="98"/>
        <item x="189"/>
        <item x="59"/>
        <item x="115"/>
        <item x="139"/>
        <item x="120"/>
        <item x="19"/>
        <item x="66"/>
        <item x="191"/>
        <item x="114"/>
        <item x="193"/>
        <item x="12"/>
        <item x="7"/>
        <item x="81"/>
        <item x="154"/>
        <item x="26"/>
        <item x="24"/>
        <item x="108"/>
        <item x="35"/>
        <item x="45"/>
        <item x="185"/>
        <item x="17"/>
        <item x="6"/>
        <item x="179"/>
        <item x="160"/>
        <item x="158"/>
        <item x="38"/>
        <item x="109"/>
        <item x="84"/>
        <item x="143"/>
        <item x="82"/>
        <item x="161"/>
        <item x="119"/>
        <item x="32"/>
        <item x="13"/>
        <item x="74"/>
        <item x="3"/>
        <item x="173"/>
        <item x="165"/>
        <item x="15"/>
        <item x="137"/>
        <item x="100"/>
        <item x="93"/>
        <item x="145"/>
        <item x="149"/>
        <item x="72"/>
        <item x="167"/>
        <item x="70"/>
        <item x="40"/>
        <item x="182"/>
        <item x="130"/>
        <item x="150"/>
        <item x="83"/>
        <item x="102"/>
        <item x="36"/>
        <item x="159"/>
        <item x="37"/>
        <item x="48"/>
        <item x="121"/>
        <item x="56"/>
        <item x="128"/>
        <item x="1"/>
        <item x="67"/>
        <item x="21"/>
        <item x="68"/>
        <item x="41"/>
        <item x="101"/>
        <item x="118"/>
        <item x="73"/>
        <item x="65"/>
        <item x="80"/>
        <item x="153"/>
        <item x="58"/>
        <item x="168"/>
        <item x="86"/>
        <item x="116"/>
        <item x="163"/>
        <item x="105"/>
        <item x="71"/>
        <item x="79"/>
        <item x="97"/>
        <item x="111"/>
        <item x="186"/>
        <item x="33"/>
        <item x="76"/>
        <item x="141"/>
        <item x="52"/>
        <item x="95"/>
        <item x="155"/>
        <item x="132"/>
        <item x="43"/>
        <item x="144"/>
        <item x="164"/>
        <item x="75"/>
        <item x="190"/>
        <item x="62"/>
        <item x="22"/>
        <item x="49"/>
        <item x="54"/>
        <item x="187"/>
        <item x="184"/>
        <item x="25"/>
        <item x="127"/>
        <item x="8"/>
        <item x="157"/>
        <item x="122"/>
        <item x="91"/>
        <item x="147"/>
        <item x="85"/>
        <item x="51"/>
        <item x="88"/>
        <item x="57"/>
        <item x="64"/>
        <item x="31"/>
        <item x="174"/>
        <item x="27"/>
        <item x="20"/>
        <item x="34"/>
        <item x="117"/>
        <item x="53"/>
        <item x="123"/>
        <item x="2"/>
        <item x="124"/>
        <item x="194"/>
        <item x="14"/>
        <item x="23"/>
        <item x="94"/>
        <item x="107"/>
        <item x="10"/>
        <item x="4"/>
        <item x="69"/>
        <item x="99"/>
        <item x="166"/>
        <item x="50"/>
        <item x="188"/>
        <item x="103"/>
        <item x="176"/>
        <item x="110"/>
        <item x="169"/>
        <item x="9"/>
        <item x="126"/>
        <item x="39"/>
        <item x="135"/>
        <item x="140"/>
        <item x="133"/>
        <item x="151"/>
        <item x="148"/>
        <item x="104"/>
        <item x="47"/>
        <item x="129"/>
        <item x="61"/>
        <item x="60"/>
        <item x="92"/>
        <item x="96"/>
        <item x="28"/>
        <item x="30"/>
        <item x="87"/>
        <item x="181"/>
        <item x="63"/>
        <item x="125"/>
        <item x="42"/>
        <item x="171"/>
        <item x="177"/>
        <item x="136"/>
        <item x="78"/>
        <item x="112"/>
        <item x="44"/>
        <item x="89"/>
        <item x="162"/>
        <item t="default"/>
      </items>
    </pivotField>
    <pivotField compact="0" showAll="0">
      <items count="196">
        <item x="134"/>
        <item x="0"/>
        <item x="29"/>
        <item x="152"/>
        <item x="142"/>
        <item x="98"/>
        <item x="46"/>
        <item x="156"/>
        <item x="180"/>
        <item x="138"/>
        <item x="172"/>
        <item x="55"/>
        <item x="106"/>
        <item x="131"/>
        <item x="183"/>
        <item x="189"/>
        <item x="19"/>
        <item x="11"/>
        <item x="154"/>
        <item x="192"/>
        <item x="93"/>
        <item x="90"/>
        <item x="191"/>
        <item x="77"/>
        <item x="120"/>
        <item x="170"/>
        <item x="5"/>
        <item x="146"/>
        <item x="24"/>
        <item x="26"/>
        <item x="145"/>
        <item x="175"/>
        <item x="185"/>
        <item x="16"/>
        <item x="35"/>
        <item x="66"/>
        <item x="178"/>
        <item x="15"/>
        <item x="7"/>
        <item x="12"/>
        <item x="3"/>
        <item x="161"/>
        <item x="18"/>
        <item x="139"/>
        <item x="108"/>
        <item x="86"/>
        <item x="179"/>
        <item x="109"/>
        <item x="143"/>
        <item x="1"/>
        <item x="149"/>
        <item x="114"/>
        <item x="17"/>
        <item x="104"/>
        <item x="99"/>
        <item x="113"/>
        <item x="81"/>
        <item x="73"/>
        <item x="153"/>
        <item x="40"/>
        <item x="184"/>
        <item x="72"/>
        <item x="79"/>
        <item x="58"/>
        <item x="182"/>
        <item x="128"/>
        <item x="13"/>
        <item x="118"/>
        <item x="74"/>
        <item x="115"/>
        <item x="84"/>
        <item x="51"/>
        <item x="100"/>
        <item x="111"/>
        <item x="52"/>
        <item x="8"/>
        <item x="56"/>
        <item x="22"/>
        <item x="101"/>
        <item x="150"/>
        <item x="193"/>
        <item x="167"/>
        <item x="59"/>
        <item x="65"/>
        <item x="116"/>
        <item x="105"/>
        <item x="41"/>
        <item x="158"/>
        <item x="36"/>
        <item x="119"/>
        <item x="168"/>
        <item x="174"/>
        <item x="173"/>
        <item x="75"/>
        <item x="14"/>
        <item x="187"/>
        <item x="32"/>
        <item x="155"/>
        <item x="2"/>
        <item x="45"/>
        <item x="127"/>
        <item x="169"/>
        <item x="34"/>
        <item x="165"/>
        <item x="130"/>
        <item x="83"/>
        <item x="6"/>
        <item x="49"/>
        <item x="97"/>
        <item x="159"/>
        <item x="62"/>
        <item x="137"/>
        <item x="82"/>
        <item x="64"/>
        <item x="176"/>
        <item x="123"/>
        <item x="37"/>
        <item x="160"/>
        <item x="57"/>
        <item x="122"/>
        <item x="80"/>
        <item x="38"/>
        <item x="95"/>
        <item x="107"/>
        <item x="33"/>
        <item x="63"/>
        <item x="48"/>
        <item x="71"/>
        <item x="68"/>
        <item x="91"/>
        <item x="27"/>
        <item x="70"/>
        <item x="121"/>
        <item x="147"/>
        <item x="88"/>
        <item x="102"/>
        <item x="43"/>
        <item x="144"/>
        <item x="96"/>
        <item x="31"/>
        <item x="110"/>
        <item x="21"/>
        <item x="135"/>
        <item x="67"/>
        <item x="103"/>
        <item x="171"/>
        <item x="141"/>
        <item x="190"/>
        <item x="53"/>
        <item x="25"/>
        <item x="85"/>
        <item x="136"/>
        <item x="133"/>
        <item x="89"/>
        <item x="157"/>
        <item x="188"/>
        <item x="42"/>
        <item x="117"/>
        <item x="9"/>
        <item x="112"/>
        <item x="76"/>
        <item x="10"/>
        <item x="54"/>
        <item x="20"/>
        <item x="132"/>
        <item x="92"/>
        <item x="44"/>
        <item x="181"/>
        <item x="186"/>
        <item x="69"/>
        <item x="163"/>
        <item x="78"/>
        <item x="177"/>
        <item x="148"/>
        <item x="87"/>
        <item x="39"/>
        <item x="164"/>
        <item x="61"/>
        <item x="125"/>
        <item x="162"/>
        <item x="151"/>
        <item x="50"/>
        <item x="47"/>
        <item x="194"/>
        <item x="126"/>
        <item x="124"/>
        <item x="94"/>
        <item x="60"/>
        <item x="129"/>
        <item x="166"/>
        <item x="23"/>
        <item x="30"/>
        <item x="140"/>
        <item x="4"/>
        <item x="28"/>
        <item t="default"/>
      </items>
    </pivotField>
    <pivotField compact="0" showAll="0">
      <items count="196">
        <item x="104"/>
        <item x="99"/>
        <item x="98"/>
        <item x="184"/>
        <item x="51"/>
        <item x="169"/>
        <item x="93"/>
        <item x="63"/>
        <item x="8"/>
        <item x="89"/>
        <item x="86"/>
        <item x="14"/>
        <item x="174"/>
        <item x="22"/>
        <item x="2"/>
        <item x="176"/>
        <item x="29"/>
        <item x="79"/>
        <item x="154"/>
        <item x="171"/>
        <item x="153"/>
        <item x="52"/>
        <item x="162"/>
        <item x="145"/>
        <item x="136"/>
        <item x="96"/>
        <item x="34"/>
        <item x="73"/>
        <item x="111"/>
        <item x="142"/>
        <item x="172"/>
        <item x="58"/>
        <item x="112"/>
        <item x="1"/>
        <item x="107"/>
        <item x="19"/>
        <item x="44"/>
        <item x="15"/>
        <item x="123"/>
        <item x="127"/>
        <item x="118"/>
        <item x="187"/>
        <item x="42"/>
        <item x="75"/>
        <item x="135"/>
        <item x="64"/>
        <item x="152"/>
        <item x="105"/>
        <item x="116"/>
        <item x="110"/>
        <item x="189"/>
        <item x="3"/>
        <item x="78"/>
        <item x="101"/>
        <item x="155"/>
        <item x="57"/>
        <item x="161"/>
        <item x="128"/>
        <item x="40"/>
        <item x="24"/>
        <item x="65"/>
        <item x="191"/>
        <item x="103"/>
        <item x="177"/>
        <item x="49"/>
        <item x="26"/>
        <item x="149"/>
        <item x="122"/>
        <item x="181"/>
        <item x="185"/>
        <item x="27"/>
        <item x="133"/>
        <item x="41"/>
        <item x="62"/>
        <item x="182"/>
        <item x="56"/>
        <item x="168"/>
        <item x="92"/>
        <item x="143"/>
        <item x="72"/>
        <item x="35"/>
        <item x="87"/>
        <item x="120"/>
        <item x="109"/>
        <item x="91"/>
        <item x="9"/>
        <item x="150"/>
        <item x="179"/>
        <item x="125"/>
        <item x="97"/>
        <item x="147"/>
        <item x="188"/>
        <item x="88"/>
        <item x="0"/>
        <item x="31"/>
        <item x="131"/>
        <item x="148"/>
        <item x="13"/>
        <item x="167"/>
        <item x="17"/>
        <item x="100"/>
        <item x="53"/>
        <item x="7"/>
        <item x="108"/>
        <item x="95"/>
        <item x="74"/>
        <item x="106"/>
        <item x="156"/>
        <item x="61"/>
        <item x="10"/>
        <item x="39"/>
        <item x="36"/>
        <item x="33"/>
        <item x="66"/>
        <item x="12"/>
        <item x="69"/>
        <item x="84"/>
        <item x="47"/>
        <item x="151"/>
        <item x="117"/>
        <item x="85"/>
        <item x="71"/>
        <item x="144"/>
        <item x="43"/>
        <item x="80"/>
        <item x="20"/>
        <item x="81"/>
        <item x="60"/>
        <item x="25"/>
        <item x="138"/>
        <item x="180"/>
        <item x="157"/>
        <item x="190"/>
        <item x="159"/>
        <item x="83"/>
        <item x="50"/>
        <item x="139"/>
        <item x="130"/>
        <item x="119"/>
        <item x="173"/>
        <item x="192"/>
        <item x="158"/>
        <item x="114"/>
        <item x="126"/>
        <item x="5"/>
        <item x="68"/>
        <item x="77"/>
        <item x="90"/>
        <item x="183"/>
        <item x="37"/>
        <item x="11"/>
        <item x="32"/>
        <item x="129"/>
        <item x="141"/>
        <item x="170"/>
        <item x="30"/>
        <item x="54"/>
        <item x="165"/>
        <item x="48"/>
        <item x="28"/>
        <item x="137"/>
        <item x="194"/>
        <item x="18"/>
        <item x="94"/>
        <item x="124"/>
        <item x="121"/>
        <item x="132"/>
        <item x="140"/>
        <item x="193"/>
        <item x="21"/>
        <item x="16"/>
        <item x="67"/>
        <item x="76"/>
        <item x="46"/>
        <item x="82"/>
        <item x="55"/>
        <item x="166"/>
        <item x="70"/>
        <item x="175"/>
        <item x="178"/>
        <item x="115"/>
        <item x="102"/>
        <item x="6"/>
        <item x="186"/>
        <item x="113"/>
        <item x="45"/>
        <item x="146"/>
        <item x="164"/>
        <item x="23"/>
        <item x="4"/>
        <item x="160"/>
        <item x="38"/>
        <item x="59"/>
        <item x="163"/>
        <item x="134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2">
    <field x="4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Revenue" fld="10" baseField="0" baseItem="0"/>
    <dataField name="Sum of UnitsSold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4:C47" firstHeaderRow="0" firstDataRow="1" firstDataCol="1"/>
  <pivotFields count="15">
    <pivotField compact="0" numFmtId="177" showAll="0">
      <items count="204">
        <item x="27"/>
        <item x="121"/>
        <item x="17"/>
        <item x="183"/>
        <item x="152"/>
        <item x="33"/>
        <item x="151"/>
        <item x="140"/>
        <item x="157"/>
        <item x="200"/>
        <item x="21"/>
        <item x="167"/>
        <item x="3"/>
        <item x="94"/>
        <item x="15"/>
        <item x="74"/>
        <item x="80"/>
        <item x="106"/>
        <item x="54"/>
        <item x="4"/>
        <item x="135"/>
        <item x="129"/>
        <item x="98"/>
        <item x="32"/>
        <item x="132"/>
        <item x="181"/>
        <item x="104"/>
        <item x="166"/>
        <item x="150"/>
        <item x="92"/>
        <item x="136"/>
        <item x="110"/>
        <item x="117"/>
        <item x="65"/>
        <item x="176"/>
        <item x="12"/>
        <item x="149"/>
        <item x="35"/>
        <item x="84"/>
        <item x="192"/>
        <item x="138"/>
        <item x="161"/>
        <item x="89"/>
        <item x="53"/>
        <item x="56"/>
        <item x="31"/>
        <item x="20"/>
        <item x="103"/>
        <item x="156"/>
        <item x="126"/>
        <item x="202"/>
        <item x="175"/>
        <item x="122"/>
        <item x="174"/>
        <item x="180"/>
        <item x="120"/>
        <item x="66"/>
        <item x="19"/>
        <item x="5"/>
        <item x="37"/>
        <item x="88"/>
        <item x="11"/>
        <item x="178"/>
        <item x="196"/>
        <item x="193"/>
        <item x="169"/>
        <item x="124"/>
        <item x="131"/>
        <item x="186"/>
        <item x="198"/>
        <item x="172"/>
        <item x="8"/>
        <item x="105"/>
        <item x="95"/>
        <item x="155"/>
        <item x="34"/>
        <item x="171"/>
        <item x="168"/>
        <item x="112"/>
        <item x="64"/>
        <item x="189"/>
        <item x="127"/>
        <item x="144"/>
        <item x="146"/>
        <item x="119"/>
        <item x="141"/>
        <item x="26"/>
        <item x="63"/>
        <item x="199"/>
        <item x="190"/>
        <item x="102"/>
        <item x="68"/>
        <item x="41"/>
        <item x="125"/>
        <item x="194"/>
        <item x="134"/>
        <item x="182"/>
        <item x="39"/>
        <item x="139"/>
        <item x="100"/>
        <item x="43"/>
        <item x="173"/>
        <item x="2"/>
        <item x="101"/>
        <item x="61"/>
        <item x="147"/>
        <item x="62"/>
        <item x="38"/>
        <item x="55"/>
        <item x="143"/>
        <item x="25"/>
        <item x="14"/>
        <item x="160"/>
        <item x="59"/>
        <item x="128"/>
        <item x="6"/>
        <item x="50"/>
        <item x="51"/>
        <item x="22"/>
        <item x="188"/>
        <item x="123"/>
        <item x="71"/>
        <item x="49"/>
        <item x="118"/>
        <item x="148"/>
        <item x="76"/>
        <item x="165"/>
        <item x="78"/>
        <item x="52"/>
        <item x="170"/>
        <item x="96"/>
        <item x="99"/>
        <item x="48"/>
        <item x="67"/>
        <item x="154"/>
        <item x="177"/>
        <item x="93"/>
        <item x="23"/>
        <item x="162"/>
        <item x="30"/>
        <item x="107"/>
        <item x="86"/>
        <item x="115"/>
        <item x="70"/>
        <item x="42"/>
        <item x="111"/>
        <item x="195"/>
        <item x="40"/>
        <item x="142"/>
        <item x="9"/>
        <item x="58"/>
        <item x="197"/>
        <item x="109"/>
        <item x="185"/>
        <item x="153"/>
        <item x="108"/>
        <item x="158"/>
        <item x="137"/>
        <item x="159"/>
        <item x="82"/>
        <item x="44"/>
        <item x="91"/>
        <item x="7"/>
        <item x="24"/>
        <item x="114"/>
        <item x="36"/>
        <item x="57"/>
        <item x="113"/>
        <item x="145"/>
        <item x="10"/>
        <item x="69"/>
        <item x="133"/>
        <item x="130"/>
        <item x="73"/>
        <item x="164"/>
        <item x="72"/>
        <item x="77"/>
        <item x="46"/>
        <item x="47"/>
        <item x="75"/>
        <item x="16"/>
        <item x="90"/>
        <item x="201"/>
        <item x="184"/>
        <item x="81"/>
        <item x="97"/>
        <item x="18"/>
        <item x="163"/>
        <item x="187"/>
        <item x="85"/>
        <item x="29"/>
        <item x="28"/>
        <item x="45"/>
        <item x="0"/>
        <item x="87"/>
        <item x="79"/>
        <item x="191"/>
        <item x="1"/>
        <item x="116"/>
        <item x="13"/>
        <item x="83"/>
        <item x="60"/>
        <item x="179"/>
        <item t="default"/>
      </items>
    </pivotField>
    <pivotField compact="0" numFmtId="176" showAll="0">
      <items count="204">
        <item x="27"/>
        <item x="121"/>
        <item x="17"/>
        <item x="183"/>
        <item x="152"/>
        <item x="33"/>
        <item x="151"/>
        <item x="140"/>
        <item x="157"/>
        <item x="200"/>
        <item x="21"/>
        <item x="167"/>
        <item x="3"/>
        <item x="94"/>
        <item x="15"/>
        <item x="74"/>
        <item x="80"/>
        <item x="106"/>
        <item x="54"/>
        <item x="4"/>
        <item x="135"/>
        <item x="129"/>
        <item x="98"/>
        <item x="32"/>
        <item x="132"/>
        <item x="181"/>
        <item x="104"/>
        <item x="166"/>
        <item x="150"/>
        <item x="92"/>
        <item x="136"/>
        <item x="110"/>
        <item x="117"/>
        <item x="65"/>
        <item x="176"/>
        <item x="12"/>
        <item x="149"/>
        <item x="35"/>
        <item x="84"/>
        <item x="192"/>
        <item x="138"/>
        <item x="161"/>
        <item x="89"/>
        <item x="53"/>
        <item x="56"/>
        <item x="31"/>
        <item x="20"/>
        <item x="103"/>
        <item x="156"/>
        <item x="126"/>
        <item x="202"/>
        <item x="175"/>
        <item x="122"/>
        <item x="174"/>
        <item x="180"/>
        <item x="120"/>
        <item x="66"/>
        <item x="19"/>
        <item x="5"/>
        <item x="37"/>
        <item x="88"/>
        <item x="11"/>
        <item x="178"/>
        <item x="196"/>
        <item x="193"/>
        <item x="169"/>
        <item x="124"/>
        <item x="131"/>
        <item x="186"/>
        <item x="198"/>
        <item x="172"/>
        <item x="8"/>
        <item x="105"/>
        <item x="95"/>
        <item x="155"/>
        <item x="34"/>
        <item x="171"/>
        <item x="168"/>
        <item x="112"/>
        <item x="64"/>
        <item x="189"/>
        <item x="127"/>
        <item x="144"/>
        <item x="146"/>
        <item x="119"/>
        <item x="141"/>
        <item x="26"/>
        <item x="63"/>
        <item x="199"/>
        <item x="190"/>
        <item x="102"/>
        <item x="68"/>
        <item x="41"/>
        <item x="125"/>
        <item x="194"/>
        <item x="134"/>
        <item x="182"/>
        <item x="39"/>
        <item x="139"/>
        <item x="100"/>
        <item x="43"/>
        <item x="173"/>
        <item x="2"/>
        <item x="101"/>
        <item x="61"/>
        <item x="147"/>
        <item x="62"/>
        <item x="38"/>
        <item x="55"/>
        <item x="143"/>
        <item x="25"/>
        <item x="14"/>
        <item x="160"/>
        <item x="59"/>
        <item x="128"/>
        <item x="6"/>
        <item x="50"/>
        <item x="51"/>
        <item x="22"/>
        <item x="188"/>
        <item x="123"/>
        <item x="71"/>
        <item x="49"/>
        <item x="118"/>
        <item x="148"/>
        <item x="76"/>
        <item x="165"/>
        <item x="78"/>
        <item x="52"/>
        <item x="170"/>
        <item x="96"/>
        <item x="99"/>
        <item x="48"/>
        <item x="67"/>
        <item x="154"/>
        <item x="177"/>
        <item x="93"/>
        <item x="23"/>
        <item x="162"/>
        <item x="30"/>
        <item x="107"/>
        <item x="86"/>
        <item x="115"/>
        <item x="70"/>
        <item x="42"/>
        <item x="111"/>
        <item x="195"/>
        <item x="40"/>
        <item x="142"/>
        <item x="9"/>
        <item x="58"/>
        <item x="197"/>
        <item x="109"/>
        <item x="185"/>
        <item x="153"/>
        <item x="108"/>
        <item x="158"/>
        <item x="137"/>
        <item x="159"/>
        <item x="82"/>
        <item x="44"/>
        <item x="91"/>
        <item x="7"/>
        <item x="24"/>
        <item x="114"/>
        <item x="36"/>
        <item x="57"/>
        <item x="113"/>
        <item x="145"/>
        <item x="10"/>
        <item x="69"/>
        <item x="133"/>
        <item x="130"/>
        <item x="73"/>
        <item x="164"/>
        <item x="72"/>
        <item x="77"/>
        <item x="46"/>
        <item x="47"/>
        <item x="75"/>
        <item x="16"/>
        <item x="90"/>
        <item x="201"/>
        <item x="184"/>
        <item x="81"/>
        <item x="97"/>
        <item x="18"/>
        <item x="163"/>
        <item x="187"/>
        <item x="85"/>
        <item x="29"/>
        <item x="28"/>
        <item x="45"/>
        <item x="0"/>
        <item x="87"/>
        <item x="79"/>
        <item x="191"/>
        <item x="1"/>
        <item x="116"/>
        <item x="13"/>
        <item x="83"/>
        <item x="60"/>
        <item x="179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31">
        <item x="7"/>
        <item x="20"/>
        <item x="3"/>
        <item x="16"/>
        <item x="6"/>
        <item x="28"/>
        <item x="29"/>
        <item x="0"/>
        <item x="22"/>
        <item x="26"/>
        <item x="19"/>
        <item x="23"/>
        <item x="13"/>
        <item x="18"/>
        <item x="1"/>
        <item x="24"/>
        <item x="8"/>
        <item x="11"/>
        <item x="12"/>
        <item x="10"/>
        <item x="17"/>
        <item x="15"/>
        <item x="5"/>
        <item x="4"/>
        <item x="21"/>
        <item x="2"/>
        <item x="25"/>
        <item x="14"/>
        <item x="9"/>
        <item x="27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27">
        <item x="25"/>
        <item x="0"/>
        <item x="11"/>
        <item x="9"/>
        <item x="5"/>
        <item x="6"/>
        <item x="18"/>
        <item x="21"/>
        <item x="16"/>
        <item x="2"/>
        <item x="1"/>
        <item x="3"/>
        <item x="8"/>
        <item x="12"/>
        <item x="10"/>
        <item x="7"/>
        <item x="20"/>
        <item x="17"/>
        <item x="19"/>
        <item x="15"/>
        <item x="23"/>
        <item x="22"/>
        <item x="24"/>
        <item x="13"/>
        <item x="4"/>
        <item x="14"/>
        <item t="default"/>
      </items>
    </pivotField>
    <pivotField compact="0" showAll="0">
      <items count="199">
        <item x="149"/>
        <item x="194"/>
        <item x="35"/>
        <item x="0"/>
        <item x="107"/>
        <item x="113"/>
        <item x="83"/>
        <item x="118"/>
        <item x="148"/>
        <item x="154"/>
        <item x="175"/>
        <item x="196"/>
        <item x="181"/>
        <item x="126"/>
        <item x="187"/>
        <item x="184"/>
        <item x="156"/>
        <item x="180"/>
        <item x="59"/>
        <item x="140"/>
        <item x="182"/>
        <item x="7"/>
        <item x="73"/>
        <item x="85"/>
        <item x="169"/>
        <item x="45"/>
        <item x="17"/>
        <item x="13"/>
        <item x="170"/>
        <item x="153"/>
        <item x="56"/>
        <item x="158"/>
        <item x="150"/>
        <item x="22"/>
        <item x="80"/>
        <item x="96"/>
        <item x="8"/>
        <item x="3"/>
        <item x="186"/>
        <item x="40"/>
        <item x="161"/>
        <item x="62"/>
        <item x="92"/>
        <item x="112"/>
        <item x="135"/>
        <item x="145"/>
        <item x="15"/>
        <item x="78"/>
        <item x="55"/>
        <item x="152"/>
        <item x="167"/>
        <item x="141"/>
        <item x="71"/>
        <item x="41"/>
        <item x="191"/>
        <item x="29"/>
        <item x="5"/>
        <item x="51"/>
        <item x="46"/>
        <item x="132"/>
        <item x="19"/>
        <item x="81"/>
        <item x="87"/>
        <item x="1"/>
        <item x="36"/>
        <item x="94"/>
        <item x="143"/>
        <item x="76"/>
        <item x="120"/>
        <item x="157"/>
        <item x="105"/>
        <item x="90"/>
        <item x="104"/>
        <item x="64"/>
        <item x="146"/>
        <item x="68"/>
        <item x="43"/>
        <item x="97"/>
        <item x="106"/>
        <item x="33"/>
        <item x="99"/>
        <item x="139"/>
        <item x="74"/>
        <item x="75"/>
        <item x="155"/>
        <item x="111"/>
        <item x="25"/>
        <item x="174"/>
        <item x="32"/>
        <item x="109"/>
        <item x="98"/>
        <item x="166"/>
        <item x="193"/>
        <item x="84"/>
        <item x="102"/>
        <item x="103"/>
        <item x="14"/>
        <item x="165"/>
        <item x="114"/>
        <item x="108"/>
        <item x="133"/>
        <item x="89"/>
        <item x="189"/>
        <item x="130"/>
        <item x="144"/>
        <item x="34"/>
        <item x="70"/>
        <item x="63"/>
        <item x="142"/>
        <item x="119"/>
        <item x="136"/>
        <item x="125"/>
        <item x="172"/>
        <item x="100"/>
        <item x="192"/>
        <item x="58"/>
        <item x="21"/>
        <item x="117"/>
        <item x="121"/>
        <item x="197"/>
        <item x="65"/>
        <item x="31"/>
        <item x="93"/>
        <item x="47"/>
        <item x="171"/>
        <item x="122"/>
        <item x="54"/>
        <item x="190"/>
        <item x="86"/>
        <item x="162"/>
        <item x="177"/>
        <item x="61"/>
        <item x="178"/>
        <item x="12"/>
        <item x="48"/>
        <item x="131"/>
        <item x="16"/>
        <item x="27"/>
        <item x="124"/>
        <item x="44"/>
        <item x="91"/>
        <item x="23"/>
        <item x="79"/>
        <item x="110"/>
        <item x="123"/>
        <item x="188"/>
        <item x="88"/>
        <item x="67"/>
        <item x="101"/>
        <item x="183"/>
        <item x="50"/>
        <item x="128"/>
        <item x="151"/>
        <item x="179"/>
        <item x="82"/>
        <item x="4"/>
        <item x="39"/>
        <item x="185"/>
        <item x="6"/>
        <item x="168"/>
        <item x="116"/>
        <item x="53"/>
        <item x="9"/>
        <item x="173"/>
        <item x="20"/>
        <item x="2"/>
        <item x="57"/>
        <item x="37"/>
        <item x="60"/>
        <item x="11"/>
        <item x="176"/>
        <item x="18"/>
        <item x="30"/>
        <item x="28"/>
        <item x="127"/>
        <item x="69"/>
        <item x="66"/>
        <item x="134"/>
        <item x="49"/>
        <item x="42"/>
        <item x="159"/>
        <item x="26"/>
        <item x="77"/>
        <item x="138"/>
        <item x="160"/>
        <item x="38"/>
        <item x="164"/>
        <item x="95"/>
        <item x="147"/>
        <item x="24"/>
        <item x="163"/>
        <item x="195"/>
        <item x="115"/>
        <item x="137"/>
        <item x="72"/>
        <item x="10"/>
        <item x="52"/>
        <item x="129"/>
        <item t="default"/>
      </items>
    </pivotField>
    <pivotField compact="0" showAll="0">
      <items count="200">
        <item x="152"/>
        <item x="115"/>
        <item x="197"/>
        <item x="59"/>
        <item x="182"/>
        <item x="108"/>
        <item x="177"/>
        <item x="84"/>
        <item x="0"/>
        <item x="35"/>
        <item x="45"/>
        <item x="195"/>
        <item x="120"/>
        <item x="163"/>
        <item x="70"/>
        <item x="151"/>
        <item x="184"/>
        <item x="183"/>
        <item x="158"/>
        <item x="160"/>
        <item x="186"/>
        <item x="156"/>
        <item x="7"/>
        <item x="74"/>
        <item x="128"/>
        <item x="171"/>
        <item x="137"/>
        <item x="55"/>
        <item x="81"/>
        <item x="17"/>
        <item x="13"/>
        <item x="46"/>
        <item x="114"/>
        <item x="169"/>
        <item x="82"/>
        <item x="142"/>
        <item x="153"/>
        <item x="172"/>
        <item x="97"/>
        <item x="56"/>
        <item x="5"/>
        <item x="86"/>
        <item x="3"/>
        <item x="62"/>
        <item x="192"/>
        <item x="40"/>
        <item x="155"/>
        <item x="77"/>
        <item x="113"/>
        <item x="168"/>
        <item x="22"/>
        <item x="159"/>
        <item x="76"/>
        <item x="36"/>
        <item x="143"/>
        <item x="8"/>
        <item x="72"/>
        <item x="95"/>
        <item x="68"/>
        <item x="88"/>
        <item x="41"/>
        <item x="147"/>
        <item x="15"/>
        <item x="149"/>
        <item x="146"/>
        <item x="188"/>
        <item x="93"/>
        <item x="141"/>
        <item x="43"/>
        <item x="106"/>
        <item x="111"/>
        <item x="32"/>
        <item x="79"/>
        <item x="132"/>
        <item x="134"/>
        <item x="19"/>
        <item x="25"/>
        <item x="29"/>
        <item x="121"/>
        <item x="194"/>
        <item x="91"/>
        <item x="21"/>
        <item x="122"/>
        <item x="148"/>
        <item x="1"/>
        <item x="90"/>
        <item x="179"/>
        <item x="33"/>
        <item x="23"/>
        <item x="198"/>
        <item x="85"/>
        <item x="51"/>
        <item x="124"/>
        <item x="100"/>
        <item x="94"/>
        <item x="174"/>
        <item x="145"/>
        <item x="189"/>
        <item x="105"/>
        <item x="16"/>
        <item x="4"/>
        <item x="102"/>
        <item x="54"/>
        <item x="64"/>
        <item x="48"/>
        <item x="138"/>
        <item x="119"/>
        <item x="6"/>
        <item x="67"/>
        <item x="71"/>
        <item x="144"/>
        <item x="170"/>
        <item x="157"/>
        <item x="166"/>
        <item x="107"/>
        <item x="126"/>
        <item x="75"/>
        <item x="38"/>
        <item x="103"/>
        <item x="109"/>
        <item x="110"/>
        <item x="47"/>
        <item x="176"/>
        <item x="116"/>
        <item x="187"/>
        <item x="18"/>
        <item x="80"/>
        <item x="50"/>
        <item x="98"/>
        <item x="130"/>
        <item x="61"/>
        <item x="12"/>
        <item x="83"/>
        <item x="135"/>
        <item x="28"/>
        <item x="31"/>
        <item x="140"/>
        <item x="37"/>
        <item x="191"/>
        <item x="11"/>
        <item x="190"/>
        <item x="30"/>
        <item x="87"/>
        <item x="101"/>
        <item x="154"/>
        <item x="129"/>
        <item x="193"/>
        <item x="14"/>
        <item x="127"/>
        <item x="65"/>
        <item x="20"/>
        <item x="167"/>
        <item x="34"/>
        <item x="60"/>
        <item x="123"/>
        <item x="39"/>
        <item x="58"/>
        <item x="164"/>
        <item x="125"/>
        <item x="133"/>
        <item x="27"/>
        <item x="92"/>
        <item x="196"/>
        <item x="99"/>
        <item x="162"/>
        <item x="53"/>
        <item x="139"/>
        <item x="63"/>
        <item x="69"/>
        <item x="185"/>
        <item x="66"/>
        <item x="104"/>
        <item x="9"/>
        <item x="44"/>
        <item x="117"/>
        <item x="181"/>
        <item x="180"/>
        <item x="173"/>
        <item x="112"/>
        <item x="10"/>
        <item x="150"/>
        <item x="57"/>
        <item x="118"/>
        <item x="131"/>
        <item x="49"/>
        <item x="89"/>
        <item x="161"/>
        <item x="26"/>
        <item x="175"/>
        <item x="24"/>
        <item x="78"/>
        <item x="2"/>
        <item x="42"/>
        <item x="178"/>
        <item x="136"/>
        <item x="96"/>
        <item x="165"/>
        <item x="73"/>
        <item x="52"/>
        <item t="default"/>
      </items>
    </pivotField>
    <pivotField compact="0" showAll="0">
      <items count="201">
        <item x="80"/>
        <item x="138"/>
        <item x="64"/>
        <item x="0"/>
        <item x="35"/>
        <item x="174"/>
        <item x="175"/>
        <item x="58"/>
        <item x="197"/>
        <item x="194"/>
        <item x="192"/>
        <item x="130"/>
        <item x="15"/>
        <item x="46"/>
        <item x="72"/>
        <item x="29"/>
        <item x="188"/>
        <item x="48"/>
        <item x="99"/>
        <item x="28"/>
        <item x="158"/>
        <item x="167"/>
        <item x="190"/>
        <item x="129"/>
        <item x="1"/>
        <item x="73"/>
        <item x="100"/>
        <item x="83"/>
        <item x="113"/>
        <item x="50"/>
        <item x="9"/>
        <item x="20"/>
        <item x="151"/>
        <item x="96"/>
        <item x="69"/>
        <item x="59"/>
        <item x="193"/>
        <item x="19"/>
        <item x="107"/>
        <item x="14"/>
        <item x="191"/>
        <item x="150"/>
        <item x="171"/>
        <item x="139"/>
        <item x="94"/>
        <item x="118"/>
        <item x="66"/>
        <item x="111"/>
        <item x="176"/>
        <item x="102"/>
        <item x="178"/>
        <item x="166"/>
        <item x="109"/>
        <item x="44"/>
        <item x="189"/>
        <item x="127"/>
        <item x="198"/>
        <item x="45"/>
        <item x="116"/>
        <item x="161"/>
        <item x="27"/>
        <item x="21"/>
        <item x="88"/>
        <item x="135"/>
        <item x="38"/>
        <item x="53"/>
        <item x="4"/>
        <item x="32"/>
        <item x="157"/>
        <item x="86"/>
        <item x="74"/>
        <item x="120"/>
        <item x="105"/>
        <item x="79"/>
        <item x="39"/>
        <item x="108"/>
        <item x="146"/>
        <item x="41"/>
        <item x="68"/>
        <item x="6"/>
        <item x="62"/>
        <item x="184"/>
        <item x="187"/>
        <item x="91"/>
        <item x="160"/>
        <item x="71"/>
        <item x="24"/>
        <item x="78"/>
        <item x="149"/>
        <item x="82"/>
        <item x="85"/>
        <item x="90"/>
        <item x="185"/>
        <item x="75"/>
        <item x="183"/>
        <item x="141"/>
        <item x="199"/>
        <item x="23"/>
        <item x="37"/>
        <item x="126"/>
        <item x="173"/>
        <item x="93"/>
        <item x="42"/>
        <item x="70"/>
        <item x="148"/>
        <item x="132"/>
        <item x="179"/>
        <item x="10"/>
        <item x="101"/>
        <item x="152"/>
        <item x="95"/>
        <item x="177"/>
        <item x="54"/>
        <item x="154"/>
        <item x="125"/>
        <item x="117"/>
        <item x="155"/>
        <item x="89"/>
        <item x="172"/>
        <item x="2"/>
        <item x="143"/>
        <item x="87"/>
        <item x="5"/>
        <item x="165"/>
        <item x="119"/>
        <item x="142"/>
        <item x="121"/>
        <item x="25"/>
        <item x="186"/>
        <item x="40"/>
        <item x="65"/>
        <item x="114"/>
        <item x="133"/>
        <item x="169"/>
        <item x="144"/>
        <item x="104"/>
        <item x="76"/>
        <item x="49"/>
        <item x="26"/>
        <item x="182"/>
        <item x="11"/>
        <item x="124"/>
        <item x="123"/>
        <item x="196"/>
        <item x="61"/>
        <item x="162"/>
        <item x="3"/>
        <item x="168"/>
        <item x="164"/>
        <item x="106"/>
        <item x="60"/>
        <item x="163"/>
        <item x="56"/>
        <item x="147"/>
        <item x="128"/>
        <item x="159"/>
        <item x="195"/>
        <item x="180"/>
        <item x="30"/>
        <item x="103"/>
        <item x="153"/>
        <item x="112"/>
        <item x="136"/>
        <item x="31"/>
        <item x="97"/>
        <item x="18"/>
        <item x="36"/>
        <item x="51"/>
        <item x="181"/>
        <item x="122"/>
        <item x="110"/>
        <item x="137"/>
        <item x="140"/>
        <item x="12"/>
        <item x="57"/>
        <item x="170"/>
        <item x="13"/>
        <item x="16"/>
        <item x="34"/>
        <item x="33"/>
        <item x="47"/>
        <item x="145"/>
        <item x="8"/>
        <item x="84"/>
        <item x="156"/>
        <item x="17"/>
        <item x="98"/>
        <item x="131"/>
        <item x="92"/>
        <item x="81"/>
        <item x="55"/>
        <item x="115"/>
        <item x="77"/>
        <item x="7"/>
        <item x="134"/>
        <item x="67"/>
        <item x="52"/>
        <item x="22"/>
        <item x="63"/>
        <item x="43"/>
        <item t="default"/>
      </items>
    </pivotField>
    <pivotField dataField="1" compact="0" showAll="0">
      <items count="195">
        <item x="133"/>
        <item x="0"/>
        <item x="151"/>
        <item x="29"/>
        <item x="46"/>
        <item x="141"/>
        <item x="155"/>
        <item x="179"/>
        <item x="137"/>
        <item x="55"/>
        <item x="105"/>
        <item x="182"/>
        <item x="11"/>
        <item x="97"/>
        <item x="191"/>
        <item x="171"/>
        <item x="130"/>
        <item x="89"/>
        <item x="76"/>
        <item x="145"/>
        <item x="169"/>
        <item x="188"/>
        <item x="5"/>
        <item x="174"/>
        <item x="19"/>
        <item x="16"/>
        <item x="177"/>
        <item x="119"/>
        <item x="190"/>
        <item x="153"/>
        <item x="18"/>
        <item x="66"/>
        <item x="26"/>
        <item x="24"/>
        <item x="112"/>
        <item x="138"/>
        <item x="7"/>
        <item x="12"/>
        <item x="184"/>
        <item x="35"/>
        <item x="113"/>
        <item x="107"/>
        <item x="92"/>
        <item x="80"/>
        <item x="114"/>
        <item x="178"/>
        <item x="144"/>
        <item x="17"/>
        <item x="59"/>
        <item x="15"/>
        <item x="160"/>
        <item x="3"/>
        <item x="108"/>
        <item x="142"/>
        <item x="192"/>
        <item x="148"/>
        <item x="13"/>
        <item x="83"/>
        <item x="71"/>
        <item x="73"/>
        <item x="99"/>
        <item x="40"/>
        <item x="157"/>
        <item x="1"/>
        <item x="181"/>
        <item x="45"/>
        <item x="166"/>
        <item x="149"/>
        <item x="118"/>
        <item x="127"/>
        <item x="172"/>
        <item x="56"/>
        <item x="72"/>
        <item x="32"/>
        <item x="85"/>
        <item x="6"/>
        <item x="152"/>
        <item x="117"/>
        <item x="36"/>
        <item x="100"/>
        <item x="58"/>
        <item x="164"/>
        <item x="159"/>
        <item x="41"/>
        <item x="81"/>
        <item x="136"/>
        <item x="65"/>
        <item x="78"/>
        <item x="129"/>
        <item x="82"/>
        <item x="115"/>
        <item x="110"/>
        <item x="158"/>
        <item x="38"/>
        <item x="104"/>
        <item x="52"/>
        <item x="167"/>
        <item x="37"/>
        <item x="183"/>
        <item x="22"/>
        <item x="48"/>
        <item x="74"/>
        <item x="79"/>
        <item x="96"/>
        <item x="154"/>
        <item x="8"/>
        <item x="120"/>
        <item x="68"/>
        <item x="101"/>
        <item x="51"/>
        <item x="186"/>
        <item x="70"/>
        <item x="49"/>
        <item x="62"/>
        <item x="33"/>
        <item x="126"/>
        <item x="94"/>
        <item x="21"/>
        <item x="67"/>
        <item x="173"/>
        <item x="121"/>
        <item x="98"/>
        <item x="34"/>
        <item x="64"/>
        <item x="2"/>
        <item x="57"/>
        <item x="43"/>
        <item x="143"/>
        <item x="14"/>
        <item x="90"/>
        <item x="122"/>
        <item x="140"/>
        <item x="146"/>
        <item x="27"/>
        <item x="87"/>
        <item x="189"/>
        <item x="103"/>
        <item x="31"/>
        <item x="168"/>
        <item x="75"/>
        <item x="106"/>
        <item x="25"/>
        <item x="175"/>
        <item x="162"/>
        <item x="131"/>
        <item x="84"/>
        <item x="156"/>
        <item x="185"/>
        <item x="54"/>
        <item x="53"/>
        <item x="116"/>
        <item x="102"/>
        <item x="20"/>
        <item x="109"/>
        <item x="163"/>
        <item x="134"/>
        <item x="10"/>
        <item x="187"/>
        <item x="63"/>
        <item x="9"/>
        <item x="95"/>
        <item x="132"/>
        <item x="69"/>
        <item x="170"/>
        <item x="39"/>
        <item x="147"/>
        <item x="91"/>
        <item x="50"/>
        <item x="193"/>
        <item x="123"/>
        <item x="42"/>
        <item x="180"/>
        <item x="135"/>
        <item x="150"/>
        <item x="93"/>
        <item x="86"/>
        <item x="61"/>
        <item x="125"/>
        <item x="47"/>
        <item x="111"/>
        <item x="176"/>
        <item x="77"/>
        <item x="44"/>
        <item x="124"/>
        <item x="165"/>
        <item x="23"/>
        <item x="60"/>
        <item x="88"/>
        <item x="4"/>
        <item x="128"/>
        <item x="139"/>
        <item x="30"/>
        <item x="28"/>
        <item x="161"/>
        <item t="default"/>
      </items>
    </pivotField>
    <pivotField compact="0" showAll="0">
      <items count="196">
        <item x="134"/>
        <item x="0"/>
        <item x="46"/>
        <item x="152"/>
        <item x="55"/>
        <item x="29"/>
        <item x="142"/>
        <item x="180"/>
        <item x="138"/>
        <item x="156"/>
        <item x="183"/>
        <item x="11"/>
        <item x="146"/>
        <item x="106"/>
        <item x="192"/>
        <item x="90"/>
        <item x="175"/>
        <item x="77"/>
        <item x="170"/>
        <item x="178"/>
        <item x="16"/>
        <item x="131"/>
        <item x="5"/>
        <item x="113"/>
        <item x="172"/>
        <item x="18"/>
        <item x="98"/>
        <item x="189"/>
        <item x="59"/>
        <item x="115"/>
        <item x="139"/>
        <item x="120"/>
        <item x="19"/>
        <item x="66"/>
        <item x="191"/>
        <item x="114"/>
        <item x="193"/>
        <item x="12"/>
        <item x="7"/>
        <item x="81"/>
        <item x="154"/>
        <item x="26"/>
        <item x="24"/>
        <item x="108"/>
        <item x="35"/>
        <item x="45"/>
        <item x="185"/>
        <item x="17"/>
        <item x="6"/>
        <item x="179"/>
        <item x="160"/>
        <item x="158"/>
        <item x="38"/>
        <item x="109"/>
        <item x="84"/>
        <item x="143"/>
        <item x="82"/>
        <item x="161"/>
        <item x="119"/>
        <item x="32"/>
        <item x="13"/>
        <item x="74"/>
        <item x="3"/>
        <item x="173"/>
        <item x="165"/>
        <item x="15"/>
        <item x="137"/>
        <item x="100"/>
        <item x="93"/>
        <item x="145"/>
        <item x="149"/>
        <item x="72"/>
        <item x="167"/>
        <item x="70"/>
        <item x="40"/>
        <item x="182"/>
        <item x="130"/>
        <item x="150"/>
        <item x="83"/>
        <item x="102"/>
        <item x="36"/>
        <item x="159"/>
        <item x="37"/>
        <item x="48"/>
        <item x="121"/>
        <item x="56"/>
        <item x="128"/>
        <item x="1"/>
        <item x="67"/>
        <item x="21"/>
        <item x="68"/>
        <item x="41"/>
        <item x="101"/>
        <item x="118"/>
        <item x="73"/>
        <item x="65"/>
        <item x="80"/>
        <item x="153"/>
        <item x="58"/>
        <item x="168"/>
        <item x="86"/>
        <item x="116"/>
        <item x="163"/>
        <item x="105"/>
        <item x="71"/>
        <item x="79"/>
        <item x="97"/>
        <item x="111"/>
        <item x="186"/>
        <item x="33"/>
        <item x="76"/>
        <item x="141"/>
        <item x="52"/>
        <item x="95"/>
        <item x="155"/>
        <item x="132"/>
        <item x="43"/>
        <item x="144"/>
        <item x="164"/>
        <item x="75"/>
        <item x="190"/>
        <item x="62"/>
        <item x="22"/>
        <item x="49"/>
        <item x="54"/>
        <item x="187"/>
        <item x="184"/>
        <item x="25"/>
        <item x="127"/>
        <item x="8"/>
        <item x="157"/>
        <item x="122"/>
        <item x="91"/>
        <item x="147"/>
        <item x="85"/>
        <item x="51"/>
        <item x="88"/>
        <item x="57"/>
        <item x="64"/>
        <item x="31"/>
        <item x="174"/>
        <item x="27"/>
        <item x="20"/>
        <item x="34"/>
        <item x="117"/>
        <item x="53"/>
        <item x="123"/>
        <item x="2"/>
        <item x="124"/>
        <item x="194"/>
        <item x="14"/>
        <item x="23"/>
        <item x="94"/>
        <item x="107"/>
        <item x="10"/>
        <item x="4"/>
        <item x="69"/>
        <item x="99"/>
        <item x="166"/>
        <item x="50"/>
        <item x="188"/>
        <item x="103"/>
        <item x="176"/>
        <item x="110"/>
        <item x="169"/>
        <item x="9"/>
        <item x="126"/>
        <item x="39"/>
        <item x="135"/>
        <item x="140"/>
        <item x="133"/>
        <item x="151"/>
        <item x="148"/>
        <item x="104"/>
        <item x="47"/>
        <item x="129"/>
        <item x="61"/>
        <item x="60"/>
        <item x="92"/>
        <item x="96"/>
        <item x="28"/>
        <item x="30"/>
        <item x="87"/>
        <item x="181"/>
        <item x="63"/>
        <item x="125"/>
        <item x="42"/>
        <item x="171"/>
        <item x="177"/>
        <item x="136"/>
        <item x="78"/>
        <item x="112"/>
        <item x="44"/>
        <item x="89"/>
        <item x="162"/>
        <item t="default"/>
      </items>
    </pivotField>
    <pivotField dataField="1" compact="0" showAll="0">
      <items count="196">
        <item x="134"/>
        <item x="0"/>
        <item x="29"/>
        <item x="152"/>
        <item x="142"/>
        <item x="98"/>
        <item x="46"/>
        <item x="156"/>
        <item x="180"/>
        <item x="138"/>
        <item x="172"/>
        <item x="55"/>
        <item x="106"/>
        <item x="131"/>
        <item x="183"/>
        <item x="189"/>
        <item x="19"/>
        <item x="11"/>
        <item x="154"/>
        <item x="192"/>
        <item x="93"/>
        <item x="90"/>
        <item x="191"/>
        <item x="77"/>
        <item x="120"/>
        <item x="170"/>
        <item x="5"/>
        <item x="146"/>
        <item x="24"/>
        <item x="26"/>
        <item x="145"/>
        <item x="175"/>
        <item x="185"/>
        <item x="16"/>
        <item x="35"/>
        <item x="66"/>
        <item x="178"/>
        <item x="15"/>
        <item x="7"/>
        <item x="12"/>
        <item x="3"/>
        <item x="161"/>
        <item x="18"/>
        <item x="139"/>
        <item x="108"/>
        <item x="86"/>
        <item x="179"/>
        <item x="109"/>
        <item x="143"/>
        <item x="1"/>
        <item x="149"/>
        <item x="114"/>
        <item x="17"/>
        <item x="104"/>
        <item x="99"/>
        <item x="113"/>
        <item x="81"/>
        <item x="73"/>
        <item x="153"/>
        <item x="40"/>
        <item x="184"/>
        <item x="72"/>
        <item x="79"/>
        <item x="58"/>
        <item x="182"/>
        <item x="128"/>
        <item x="13"/>
        <item x="118"/>
        <item x="74"/>
        <item x="115"/>
        <item x="84"/>
        <item x="51"/>
        <item x="100"/>
        <item x="111"/>
        <item x="52"/>
        <item x="8"/>
        <item x="56"/>
        <item x="22"/>
        <item x="101"/>
        <item x="150"/>
        <item x="193"/>
        <item x="167"/>
        <item x="59"/>
        <item x="65"/>
        <item x="116"/>
        <item x="105"/>
        <item x="41"/>
        <item x="158"/>
        <item x="36"/>
        <item x="119"/>
        <item x="168"/>
        <item x="174"/>
        <item x="173"/>
        <item x="75"/>
        <item x="14"/>
        <item x="187"/>
        <item x="32"/>
        <item x="155"/>
        <item x="2"/>
        <item x="45"/>
        <item x="127"/>
        <item x="169"/>
        <item x="34"/>
        <item x="165"/>
        <item x="130"/>
        <item x="83"/>
        <item x="6"/>
        <item x="49"/>
        <item x="97"/>
        <item x="159"/>
        <item x="62"/>
        <item x="137"/>
        <item x="82"/>
        <item x="64"/>
        <item x="176"/>
        <item x="123"/>
        <item x="37"/>
        <item x="160"/>
        <item x="57"/>
        <item x="122"/>
        <item x="80"/>
        <item x="38"/>
        <item x="95"/>
        <item x="107"/>
        <item x="33"/>
        <item x="63"/>
        <item x="48"/>
        <item x="71"/>
        <item x="68"/>
        <item x="91"/>
        <item x="27"/>
        <item x="70"/>
        <item x="121"/>
        <item x="147"/>
        <item x="88"/>
        <item x="102"/>
        <item x="43"/>
        <item x="144"/>
        <item x="96"/>
        <item x="31"/>
        <item x="110"/>
        <item x="21"/>
        <item x="135"/>
        <item x="67"/>
        <item x="103"/>
        <item x="171"/>
        <item x="141"/>
        <item x="190"/>
        <item x="53"/>
        <item x="25"/>
        <item x="85"/>
        <item x="136"/>
        <item x="133"/>
        <item x="89"/>
        <item x="157"/>
        <item x="188"/>
        <item x="42"/>
        <item x="117"/>
        <item x="9"/>
        <item x="112"/>
        <item x="76"/>
        <item x="10"/>
        <item x="54"/>
        <item x="20"/>
        <item x="132"/>
        <item x="92"/>
        <item x="44"/>
        <item x="181"/>
        <item x="186"/>
        <item x="69"/>
        <item x="163"/>
        <item x="78"/>
        <item x="177"/>
        <item x="148"/>
        <item x="87"/>
        <item x="39"/>
        <item x="164"/>
        <item x="61"/>
        <item x="125"/>
        <item x="162"/>
        <item x="151"/>
        <item x="50"/>
        <item x="47"/>
        <item x="194"/>
        <item x="126"/>
        <item x="124"/>
        <item x="94"/>
        <item x="60"/>
        <item x="129"/>
        <item x="166"/>
        <item x="23"/>
        <item x="30"/>
        <item x="140"/>
        <item x="4"/>
        <item x="28"/>
        <item t="default"/>
      </items>
    </pivotField>
    <pivotField compact="0" showAll="0">
      <items count="196">
        <item x="104"/>
        <item x="99"/>
        <item x="98"/>
        <item x="184"/>
        <item x="51"/>
        <item x="169"/>
        <item x="93"/>
        <item x="63"/>
        <item x="8"/>
        <item x="89"/>
        <item x="86"/>
        <item x="14"/>
        <item x="174"/>
        <item x="22"/>
        <item x="2"/>
        <item x="176"/>
        <item x="29"/>
        <item x="79"/>
        <item x="154"/>
        <item x="171"/>
        <item x="153"/>
        <item x="52"/>
        <item x="162"/>
        <item x="145"/>
        <item x="136"/>
        <item x="96"/>
        <item x="34"/>
        <item x="73"/>
        <item x="111"/>
        <item x="142"/>
        <item x="172"/>
        <item x="58"/>
        <item x="112"/>
        <item x="1"/>
        <item x="107"/>
        <item x="19"/>
        <item x="44"/>
        <item x="15"/>
        <item x="123"/>
        <item x="127"/>
        <item x="118"/>
        <item x="187"/>
        <item x="42"/>
        <item x="75"/>
        <item x="135"/>
        <item x="64"/>
        <item x="152"/>
        <item x="105"/>
        <item x="116"/>
        <item x="110"/>
        <item x="189"/>
        <item x="3"/>
        <item x="78"/>
        <item x="101"/>
        <item x="155"/>
        <item x="57"/>
        <item x="161"/>
        <item x="128"/>
        <item x="40"/>
        <item x="24"/>
        <item x="65"/>
        <item x="191"/>
        <item x="103"/>
        <item x="177"/>
        <item x="49"/>
        <item x="26"/>
        <item x="149"/>
        <item x="122"/>
        <item x="181"/>
        <item x="185"/>
        <item x="27"/>
        <item x="133"/>
        <item x="41"/>
        <item x="62"/>
        <item x="182"/>
        <item x="56"/>
        <item x="168"/>
        <item x="92"/>
        <item x="143"/>
        <item x="72"/>
        <item x="35"/>
        <item x="87"/>
        <item x="120"/>
        <item x="109"/>
        <item x="91"/>
        <item x="9"/>
        <item x="150"/>
        <item x="179"/>
        <item x="125"/>
        <item x="97"/>
        <item x="147"/>
        <item x="188"/>
        <item x="88"/>
        <item x="0"/>
        <item x="31"/>
        <item x="131"/>
        <item x="148"/>
        <item x="13"/>
        <item x="167"/>
        <item x="17"/>
        <item x="100"/>
        <item x="53"/>
        <item x="7"/>
        <item x="108"/>
        <item x="95"/>
        <item x="74"/>
        <item x="106"/>
        <item x="156"/>
        <item x="61"/>
        <item x="10"/>
        <item x="39"/>
        <item x="36"/>
        <item x="33"/>
        <item x="66"/>
        <item x="12"/>
        <item x="69"/>
        <item x="84"/>
        <item x="47"/>
        <item x="151"/>
        <item x="117"/>
        <item x="85"/>
        <item x="71"/>
        <item x="144"/>
        <item x="43"/>
        <item x="80"/>
        <item x="20"/>
        <item x="81"/>
        <item x="60"/>
        <item x="25"/>
        <item x="138"/>
        <item x="180"/>
        <item x="157"/>
        <item x="190"/>
        <item x="159"/>
        <item x="83"/>
        <item x="50"/>
        <item x="139"/>
        <item x="130"/>
        <item x="119"/>
        <item x="173"/>
        <item x="192"/>
        <item x="158"/>
        <item x="114"/>
        <item x="126"/>
        <item x="5"/>
        <item x="68"/>
        <item x="77"/>
        <item x="90"/>
        <item x="183"/>
        <item x="37"/>
        <item x="11"/>
        <item x="32"/>
        <item x="129"/>
        <item x="141"/>
        <item x="170"/>
        <item x="30"/>
        <item x="54"/>
        <item x="165"/>
        <item x="48"/>
        <item x="28"/>
        <item x="137"/>
        <item x="194"/>
        <item x="18"/>
        <item x="94"/>
        <item x="124"/>
        <item x="121"/>
        <item x="132"/>
        <item x="140"/>
        <item x="193"/>
        <item x="21"/>
        <item x="16"/>
        <item x="67"/>
        <item x="76"/>
        <item x="46"/>
        <item x="82"/>
        <item x="55"/>
        <item x="166"/>
        <item x="70"/>
        <item x="175"/>
        <item x="178"/>
        <item x="115"/>
        <item x="102"/>
        <item x="6"/>
        <item x="186"/>
        <item x="113"/>
        <item x="45"/>
        <item x="146"/>
        <item x="164"/>
        <item x="23"/>
        <item x="4"/>
        <item x="160"/>
        <item x="38"/>
        <item x="59"/>
        <item x="163"/>
        <item x="134"/>
        <item t="default"/>
      </items>
    </pivotField>
    <pivotField axis="axisRow" compact="0" multipleItemSelectionAllowed="1" showAll="0">
      <items count="13">
        <item x="2"/>
        <item x="3"/>
        <item x="8"/>
        <item x="4"/>
        <item x="6"/>
        <item x="10"/>
        <item x="1"/>
        <item x="9"/>
        <item x="5"/>
        <item x="7"/>
        <item x="0"/>
        <item x="11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0" baseItem="0"/>
    <dataField name="Sum of Gross_profit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60:D65" firstHeaderRow="0" firstDataRow="1" firstDataCol="1"/>
  <pivotFields count="15">
    <pivotField compact="0" numFmtId="177" showAll="0">
      <items count="204">
        <item x="27"/>
        <item x="121"/>
        <item x="17"/>
        <item x="183"/>
        <item x="152"/>
        <item x="33"/>
        <item x="151"/>
        <item x="140"/>
        <item x="157"/>
        <item x="200"/>
        <item x="21"/>
        <item x="167"/>
        <item x="3"/>
        <item x="94"/>
        <item x="15"/>
        <item x="74"/>
        <item x="80"/>
        <item x="106"/>
        <item x="54"/>
        <item x="4"/>
        <item x="135"/>
        <item x="129"/>
        <item x="98"/>
        <item x="32"/>
        <item x="132"/>
        <item x="181"/>
        <item x="104"/>
        <item x="166"/>
        <item x="150"/>
        <item x="92"/>
        <item x="136"/>
        <item x="110"/>
        <item x="117"/>
        <item x="65"/>
        <item x="176"/>
        <item x="12"/>
        <item x="149"/>
        <item x="35"/>
        <item x="84"/>
        <item x="192"/>
        <item x="138"/>
        <item x="161"/>
        <item x="89"/>
        <item x="53"/>
        <item x="56"/>
        <item x="31"/>
        <item x="20"/>
        <item x="103"/>
        <item x="156"/>
        <item x="126"/>
        <item x="202"/>
        <item x="175"/>
        <item x="122"/>
        <item x="174"/>
        <item x="180"/>
        <item x="120"/>
        <item x="66"/>
        <item x="19"/>
        <item x="5"/>
        <item x="37"/>
        <item x="88"/>
        <item x="11"/>
        <item x="178"/>
        <item x="196"/>
        <item x="193"/>
        <item x="169"/>
        <item x="124"/>
        <item x="131"/>
        <item x="186"/>
        <item x="198"/>
        <item x="172"/>
        <item x="8"/>
        <item x="105"/>
        <item x="95"/>
        <item x="155"/>
        <item x="34"/>
        <item x="171"/>
        <item x="168"/>
        <item x="112"/>
        <item x="64"/>
        <item x="189"/>
        <item x="127"/>
        <item x="144"/>
        <item x="146"/>
        <item x="119"/>
        <item x="141"/>
        <item x="26"/>
        <item x="63"/>
        <item x="199"/>
        <item x="190"/>
        <item x="102"/>
        <item x="68"/>
        <item x="41"/>
        <item x="125"/>
        <item x="194"/>
        <item x="134"/>
        <item x="182"/>
        <item x="39"/>
        <item x="139"/>
        <item x="100"/>
        <item x="43"/>
        <item x="173"/>
        <item x="2"/>
        <item x="101"/>
        <item x="61"/>
        <item x="147"/>
        <item x="62"/>
        <item x="38"/>
        <item x="55"/>
        <item x="143"/>
        <item x="25"/>
        <item x="14"/>
        <item x="160"/>
        <item x="59"/>
        <item x="128"/>
        <item x="6"/>
        <item x="50"/>
        <item x="51"/>
        <item x="22"/>
        <item x="188"/>
        <item x="123"/>
        <item x="71"/>
        <item x="49"/>
        <item x="118"/>
        <item x="148"/>
        <item x="76"/>
        <item x="165"/>
        <item x="78"/>
        <item x="52"/>
        <item x="170"/>
        <item x="96"/>
        <item x="99"/>
        <item x="48"/>
        <item x="67"/>
        <item x="154"/>
        <item x="177"/>
        <item x="93"/>
        <item x="23"/>
        <item x="162"/>
        <item x="30"/>
        <item x="107"/>
        <item x="86"/>
        <item x="115"/>
        <item x="70"/>
        <item x="42"/>
        <item x="111"/>
        <item x="195"/>
        <item x="40"/>
        <item x="142"/>
        <item x="9"/>
        <item x="58"/>
        <item x="197"/>
        <item x="109"/>
        <item x="185"/>
        <item x="153"/>
        <item x="108"/>
        <item x="158"/>
        <item x="137"/>
        <item x="159"/>
        <item x="82"/>
        <item x="44"/>
        <item x="91"/>
        <item x="7"/>
        <item x="24"/>
        <item x="114"/>
        <item x="36"/>
        <item x="57"/>
        <item x="113"/>
        <item x="145"/>
        <item x="10"/>
        <item x="69"/>
        <item x="133"/>
        <item x="130"/>
        <item x="73"/>
        <item x="164"/>
        <item x="72"/>
        <item x="77"/>
        <item x="46"/>
        <item x="47"/>
        <item x="75"/>
        <item x="16"/>
        <item x="90"/>
        <item x="201"/>
        <item x="184"/>
        <item x="81"/>
        <item x="97"/>
        <item x="18"/>
        <item x="163"/>
        <item x="187"/>
        <item x="85"/>
        <item x="29"/>
        <item x="28"/>
        <item x="45"/>
        <item x="0"/>
        <item x="87"/>
        <item x="79"/>
        <item x="191"/>
        <item x="1"/>
        <item x="116"/>
        <item x="13"/>
        <item x="83"/>
        <item x="60"/>
        <item x="179"/>
        <item t="default"/>
      </items>
    </pivotField>
    <pivotField compact="0" numFmtId="176" showAll="0">
      <items count="204">
        <item x="27"/>
        <item x="121"/>
        <item x="17"/>
        <item x="183"/>
        <item x="152"/>
        <item x="33"/>
        <item x="151"/>
        <item x="140"/>
        <item x="157"/>
        <item x="200"/>
        <item x="21"/>
        <item x="167"/>
        <item x="3"/>
        <item x="94"/>
        <item x="15"/>
        <item x="74"/>
        <item x="80"/>
        <item x="106"/>
        <item x="54"/>
        <item x="4"/>
        <item x="135"/>
        <item x="129"/>
        <item x="98"/>
        <item x="32"/>
        <item x="132"/>
        <item x="181"/>
        <item x="104"/>
        <item x="166"/>
        <item x="150"/>
        <item x="92"/>
        <item x="136"/>
        <item x="110"/>
        <item x="117"/>
        <item x="65"/>
        <item x="176"/>
        <item x="12"/>
        <item x="149"/>
        <item x="35"/>
        <item x="84"/>
        <item x="192"/>
        <item x="138"/>
        <item x="161"/>
        <item x="89"/>
        <item x="53"/>
        <item x="56"/>
        <item x="31"/>
        <item x="20"/>
        <item x="103"/>
        <item x="156"/>
        <item x="126"/>
        <item x="202"/>
        <item x="175"/>
        <item x="122"/>
        <item x="174"/>
        <item x="180"/>
        <item x="120"/>
        <item x="66"/>
        <item x="19"/>
        <item x="5"/>
        <item x="37"/>
        <item x="88"/>
        <item x="11"/>
        <item x="178"/>
        <item x="196"/>
        <item x="193"/>
        <item x="169"/>
        <item x="124"/>
        <item x="131"/>
        <item x="186"/>
        <item x="198"/>
        <item x="172"/>
        <item x="8"/>
        <item x="105"/>
        <item x="95"/>
        <item x="155"/>
        <item x="34"/>
        <item x="171"/>
        <item x="168"/>
        <item x="112"/>
        <item x="64"/>
        <item x="189"/>
        <item x="127"/>
        <item x="144"/>
        <item x="146"/>
        <item x="119"/>
        <item x="141"/>
        <item x="26"/>
        <item x="63"/>
        <item x="199"/>
        <item x="190"/>
        <item x="102"/>
        <item x="68"/>
        <item x="41"/>
        <item x="125"/>
        <item x="194"/>
        <item x="134"/>
        <item x="182"/>
        <item x="39"/>
        <item x="139"/>
        <item x="100"/>
        <item x="43"/>
        <item x="173"/>
        <item x="2"/>
        <item x="101"/>
        <item x="61"/>
        <item x="147"/>
        <item x="62"/>
        <item x="38"/>
        <item x="55"/>
        <item x="143"/>
        <item x="25"/>
        <item x="14"/>
        <item x="160"/>
        <item x="59"/>
        <item x="128"/>
        <item x="6"/>
        <item x="50"/>
        <item x="51"/>
        <item x="22"/>
        <item x="188"/>
        <item x="123"/>
        <item x="71"/>
        <item x="49"/>
        <item x="118"/>
        <item x="148"/>
        <item x="76"/>
        <item x="165"/>
        <item x="78"/>
        <item x="52"/>
        <item x="170"/>
        <item x="96"/>
        <item x="99"/>
        <item x="48"/>
        <item x="67"/>
        <item x="154"/>
        <item x="177"/>
        <item x="93"/>
        <item x="23"/>
        <item x="162"/>
        <item x="30"/>
        <item x="107"/>
        <item x="86"/>
        <item x="115"/>
        <item x="70"/>
        <item x="42"/>
        <item x="111"/>
        <item x="195"/>
        <item x="40"/>
        <item x="142"/>
        <item x="9"/>
        <item x="58"/>
        <item x="197"/>
        <item x="109"/>
        <item x="185"/>
        <item x="153"/>
        <item x="108"/>
        <item x="158"/>
        <item x="137"/>
        <item x="159"/>
        <item x="82"/>
        <item x="44"/>
        <item x="91"/>
        <item x="7"/>
        <item x="24"/>
        <item x="114"/>
        <item x="36"/>
        <item x="57"/>
        <item x="113"/>
        <item x="145"/>
        <item x="10"/>
        <item x="69"/>
        <item x="133"/>
        <item x="130"/>
        <item x="73"/>
        <item x="164"/>
        <item x="72"/>
        <item x="77"/>
        <item x="46"/>
        <item x="47"/>
        <item x="75"/>
        <item x="16"/>
        <item x="90"/>
        <item x="201"/>
        <item x="184"/>
        <item x="81"/>
        <item x="97"/>
        <item x="18"/>
        <item x="163"/>
        <item x="187"/>
        <item x="85"/>
        <item x="29"/>
        <item x="28"/>
        <item x="45"/>
        <item x="0"/>
        <item x="87"/>
        <item x="79"/>
        <item x="191"/>
        <item x="1"/>
        <item x="116"/>
        <item x="13"/>
        <item x="83"/>
        <item x="60"/>
        <item x="179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31">
        <item x="7"/>
        <item x="20"/>
        <item x="3"/>
        <item x="16"/>
        <item x="6"/>
        <item x="28"/>
        <item x="29"/>
        <item x="0"/>
        <item x="22"/>
        <item x="26"/>
        <item x="19"/>
        <item x="23"/>
        <item x="13"/>
        <item x="18"/>
        <item x="1"/>
        <item x="24"/>
        <item x="8"/>
        <item x="11"/>
        <item x="12"/>
        <item x="10"/>
        <item x="17"/>
        <item x="15"/>
        <item x="5"/>
        <item x="4"/>
        <item x="21"/>
        <item x="2"/>
        <item x="25"/>
        <item x="14"/>
        <item x="9"/>
        <item x="27"/>
        <item t="default"/>
      </items>
    </pivotField>
    <pivotField axis="axisRow" compact="0" multipleItemSelectionAllowed="1" showAll="0">
      <items count="5">
        <item x="3"/>
        <item x="0"/>
        <item x="1"/>
        <item x="2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27">
        <item x="25"/>
        <item x="0"/>
        <item x="11"/>
        <item x="9"/>
        <item x="5"/>
        <item x="6"/>
        <item x="18"/>
        <item x="21"/>
        <item x="16"/>
        <item x="2"/>
        <item x="1"/>
        <item x="3"/>
        <item x="8"/>
        <item x="12"/>
        <item x="10"/>
        <item x="7"/>
        <item x="20"/>
        <item x="17"/>
        <item x="19"/>
        <item x="15"/>
        <item x="23"/>
        <item x="22"/>
        <item x="24"/>
        <item x="13"/>
        <item x="4"/>
        <item x="14"/>
        <item t="default"/>
      </items>
    </pivotField>
    <pivotField compact="0" showAll="0">
      <items count="199">
        <item x="149"/>
        <item x="194"/>
        <item x="35"/>
        <item x="0"/>
        <item x="107"/>
        <item x="113"/>
        <item x="83"/>
        <item x="118"/>
        <item x="148"/>
        <item x="154"/>
        <item x="175"/>
        <item x="196"/>
        <item x="181"/>
        <item x="126"/>
        <item x="187"/>
        <item x="184"/>
        <item x="156"/>
        <item x="180"/>
        <item x="59"/>
        <item x="140"/>
        <item x="182"/>
        <item x="7"/>
        <item x="73"/>
        <item x="85"/>
        <item x="169"/>
        <item x="45"/>
        <item x="17"/>
        <item x="13"/>
        <item x="170"/>
        <item x="153"/>
        <item x="56"/>
        <item x="158"/>
        <item x="150"/>
        <item x="22"/>
        <item x="80"/>
        <item x="96"/>
        <item x="8"/>
        <item x="3"/>
        <item x="186"/>
        <item x="40"/>
        <item x="161"/>
        <item x="62"/>
        <item x="92"/>
        <item x="112"/>
        <item x="135"/>
        <item x="145"/>
        <item x="15"/>
        <item x="78"/>
        <item x="55"/>
        <item x="152"/>
        <item x="167"/>
        <item x="141"/>
        <item x="71"/>
        <item x="41"/>
        <item x="191"/>
        <item x="29"/>
        <item x="5"/>
        <item x="51"/>
        <item x="46"/>
        <item x="132"/>
        <item x="19"/>
        <item x="81"/>
        <item x="87"/>
        <item x="1"/>
        <item x="36"/>
        <item x="94"/>
        <item x="143"/>
        <item x="76"/>
        <item x="120"/>
        <item x="157"/>
        <item x="105"/>
        <item x="90"/>
        <item x="104"/>
        <item x="64"/>
        <item x="146"/>
        <item x="68"/>
        <item x="43"/>
        <item x="97"/>
        <item x="106"/>
        <item x="33"/>
        <item x="99"/>
        <item x="139"/>
        <item x="74"/>
        <item x="75"/>
        <item x="155"/>
        <item x="111"/>
        <item x="25"/>
        <item x="174"/>
        <item x="32"/>
        <item x="109"/>
        <item x="98"/>
        <item x="166"/>
        <item x="193"/>
        <item x="84"/>
        <item x="102"/>
        <item x="103"/>
        <item x="14"/>
        <item x="165"/>
        <item x="114"/>
        <item x="108"/>
        <item x="133"/>
        <item x="89"/>
        <item x="189"/>
        <item x="130"/>
        <item x="144"/>
        <item x="34"/>
        <item x="70"/>
        <item x="63"/>
        <item x="142"/>
        <item x="119"/>
        <item x="136"/>
        <item x="125"/>
        <item x="172"/>
        <item x="100"/>
        <item x="192"/>
        <item x="58"/>
        <item x="21"/>
        <item x="117"/>
        <item x="121"/>
        <item x="197"/>
        <item x="65"/>
        <item x="31"/>
        <item x="93"/>
        <item x="47"/>
        <item x="171"/>
        <item x="122"/>
        <item x="54"/>
        <item x="190"/>
        <item x="86"/>
        <item x="162"/>
        <item x="177"/>
        <item x="61"/>
        <item x="178"/>
        <item x="12"/>
        <item x="48"/>
        <item x="131"/>
        <item x="16"/>
        <item x="27"/>
        <item x="124"/>
        <item x="44"/>
        <item x="91"/>
        <item x="23"/>
        <item x="79"/>
        <item x="110"/>
        <item x="123"/>
        <item x="188"/>
        <item x="88"/>
        <item x="67"/>
        <item x="101"/>
        <item x="183"/>
        <item x="50"/>
        <item x="128"/>
        <item x="151"/>
        <item x="179"/>
        <item x="82"/>
        <item x="4"/>
        <item x="39"/>
        <item x="185"/>
        <item x="6"/>
        <item x="168"/>
        <item x="116"/>
        <item x="53"/>
        <item x="9"/>
        <item x="173"/>
        <item x="20"/>
        <item x="2"/>
        <item x="57"/>
        <item x="37"/>
        <item x="60"/>
        <item x="11"/>
        <item x="176"/>
        <item x="18"/>
        <item x="30"/>
        <item x="28"/>
        <item x="127"/>
        <item x="69"/>
        <item x="66"/>
        <item x="134"/>
        <item x="49"/>
        <item x="42"/>
        <item x="159"/>
        <item x="26"/>
        <item x="77"/>
        <item x="138"/>
        <item x="160"/>
        <item x="38"/>
        <item x="164"/>
        <item x="95"/>
        <item x="147"/>
        <item x="24"/>
        <item x="163"/>
        <item x="195"/>
        <item x="115"/>
        <item x="137"/>
        <item x="72"/>
        <item x="10"/>
        <item x="52"/>
        <item x="129"/>
        <item t="default"/>
      </items>
    </pivotField>
    <pivotField compact="0" showAll="0">
      <items count="200">
        <item x="152"/>
        <item x="115"/>
        <item x="197"/>
        <item x="59"/>
        <item x="182"/>
        <item x="108"/>
        <item x="177"/>
        <item x="84"/>
        <item x="0"/>
        <item x="35"/>
        <item x="45"/>
        <item x="195"/>
        <item x="120"/>
        <item x="163"/>
        <item x="70"/>
        <item x="151"/>
        <item x="184"/>
        <item x="183"/>
        <item x="158"/>
        <item x="160"/>
        <item x="186"/>
        <item x="156"/>
        <item x="7"/>
        <item x="74"/>
        <item x="128"/>
        <item x="171"/>
        <item x="137"/>
        <item x="55"/>
        <item x="81"/>
        <item x="17"/>
        <item x="13"/>
        <item x="46"/>
        <item x="114"/>
        <item x="169"/>
        <item x="82"/>
        <item x="142"/>
        <item x="153"/>
        <item x="172"/>
        <item x="97"/>
        <item x="56"/>
        <item x="5"/>
        <item x="86"/>
        <item x="3"/>
        <item x="62"/>
        <item x="192"/>
        <item x="40"/>
        <item x="155"/>
        <item x="77"/>
        <item x="113"/>
        <item x="168"/>
        <item x="22"/>
        <item x="159"/>
        <item x="76"/>
        <item x="36"/>
        <item x="143"/>
        <item x="8"/>
        <item x="72"/>
        <item x="95"/>
        <item x="68"/>
        <item x="88"/>
        <item x="41"/>
        <item x="147"/>
        <item x="15"/>
        <item x="149"/>
        <item x="146"/>
        <item x="188"/>
        <item x="93"/>
        <item x="141"/>
        <item x="43"/>
        <item x="106"/>
        <item x="111"/>
        <item x="32"/>
        <item x="79"/>
        <item x="132"/>
        <item x="134"/>
        <item x="19"/>
        <item x="25"/>
        <item x="29"/>
        <item x="121"/>
        <item x="194"/>
        <item x="91"/>
        <item x="21"/>
        <item x="122"/>
        <item x="148"/>
        <item x="1"/>
        <item x="90"/>
        <item x="179"/>
        <item x="33"/>
        <item x="23"/>
        <item x="198"/>
        <item x="85"/>
        <item x="51"/>
        <item x="124"/>
        <item x="100"/>
        <item x="94"/>
        <item x="174"/>
        <item x="145"/>
        <item x="189"/>
        <item x="105"/>
        <item x="16"/>
        <item x="4"/>
        <item x="102"/>
        <item x="54"/>
        <item x="64"/>
        <item x="48"/>
        <item x="138"/>
        <item x="119"/>
        <item x="6"/>
        <item x="67"/>
        <item x="71"/>
        <item x="144"/>
        <item x="170"/>
        <item x="157"/>
        <item x="166"/>
        <item x="107"/>
        <item x="126"/>
        <item x="75"/>
        <item x="38"/>
        <item x="103"/>
        <item x="109"/>
        <item x="110"/>
        <item x="47"/>
        <item x="176"/>
        <item x="116"/>
        <item x="187"/>
        <item x="18"/>
        <item x="80"/>
        <item x="50"/>
        <item x="98"/>
        <item x="130"/>
        <item x="61"/>
        <item x="12"/>
        <item x="83"/>
        <item x="135"/>
        <item x="28"/>
        <item x="31"/>
        <item x="140"/>
        <item x="37"/>
        <item x="191"/>
        <item x="11"/>
        <item x="190"/>
        <item x="30"/>
        <item x="87"/>
        <item x="101"/>
        <item x="154"/>
        <item x="129"/>
        <item x="193"/>
        <item x="14"/>
        <item x="127"/>
        <item x="65"/>
        <item x="20"/>
        <item x="167"/>
        <item x="34"/>
        <item x="60"/>
        <item x="123"/>
        <item x="39"/>
        <item x="58"/>
        <item x="164"/>
        <item x="125"/>
        <item x="133"/>
        <item x="27"/>
        <item x="92"/>
        <item x="196"/>
        <item x="99"/>
        <item x="162"/>
        <item x="53"/>
        <item x="139"/>
        <item x="63"/>
        <item x="69"/>
        <item x="185"/>
        <item x="66"/>
        <item x="104"/>
        <item x="9"/>
        <item x="44"/>
        <item x="117"/>
        <item x="181"/>
        <item x="180"/>
        <item x="173"/>
        <item x="112"/>
        <item x="10"/>
        <item x="150"/>
        <item x="57"/>
        <item x="118"/>
        <item x="131"/>
        <item x="49"/>
        <item x="89"/>
        <item x="161"/>
        <item x="26"/>
        <item x="175"/>
        <item x="24"/>
        <item x="78"/>
        <item x="2"/>
        <item x="42"/>
        <item x="178"/>
        <item x="136"/>
        <item x="96"/>
        <item x="165"/>
        <item x="73"/>
        <item x="52"/>
        <item t="default"/>
      </items>
    </pivotField>
    <pivotField compact="0" showAll="0">
      <items count="201">
        <item x="80"/>
        <item x="138"/>
        <item x="64"/>
        <item x="0"/>
        <item x="35"/>
        <item x="174"/>
        <item x="175"/>
        <item x="58"/>
        <item x="197"/>
        <item x="194"/>
        <item x="192"/>
        <item x="130"/>
        <item x="15"/>
        <item x="46"/>
        <item x="72"/>
        <item x="29"/>
        <item x="188"/>
        <item x="48"/>
        <item x="99"/>
        <item x="28"/>
        <item x="158"/>
        <item x="167"/>
        <item x="190"/>
        <item x="129"/>
        <item x="1"/>
        <item x="73"/>
        <item x="100"/>
        <item x="83"/>
        <item x="113"/>
        <item x="50"/>
        <item x="9"/>
        <item x="20"/>
        <item x="151"/>
        <item x="96"/>
        <item x="69"/>
        <item x="59"/>
        <item x="193"/>
        <item x="19"/>
        <item x="107"/>
        <item x="14"/>
        <item x="191"/>
        <item x="150"/>
        <item x="171"/>
        <item x="139"/>
        <item x="94"/>
        <item x="118"/>
        <item x="66"/>
        <item x="111"/>
        <item x="176"/>
        <item x="102"/>
        <item x="178"/>
        <item x="166"/>
        <item x="109"/>
        <item x="44"/>
        <item x="189"/>
        <item x="127"/>
        <item x="198"/>
        <item x="45"/>
        <item x="116"/>
        <item x="161"/>
        <item x="27"/>
        <item x="21"/>
        <item x="88"/>
        <item x="135"/>
        <item x="38"/>
        <item x="53"/>
        <item x="4"/>
        <item x="32"/>
        <item x="157"/>
        <item x="86"/>
        <item x="74"/>
        <item x="120"/>
        <item x="105"/>
        <item x="79"/>
        <item x="39"/>
        <item x="108"/>
        <item x="146"/>
        <item x="41"/>
        <item x="68"/>
        <item x="6"/>
        <item x="62"/>
        <item x="184"/>
        <item x="187"/>
        <item x="91"/>
        <item x="160"/>
        <item x="71"/>
        <item x="24"/>
        <item x="78"/>
        <item x="149"/>
        <item x="82"/>
        <item x="85"/>
        <item x="90"/>
        <item x="185"/>
        <item x="75"/>
        <item x="183"/>
        <item x="141"/>
        <item x="199"/>
        <item x="23"/>
        <item x="37"/>
        <item x="126"/>
        <item x="173"/>
        <item x="93"/>
        <item x="42"/>
        <item x="70"/>
        <item x="148"/>
        <item x="132"/>
        <item x="179"/>
        <item x="10"/>
        <item x="101"/>
        <item x="152"/>
        <item x="95"/>
        <item x="177"/>
        <item x="54"/>
        <item x="154"/>
        <item x="125"/>
        <item x="117"/>
        <item x="155"/>
        <item x="89"/>
        <item x="172"/>
        <item x="2"/>
        <item x="143"/>
        <item x="87"/>
        <item x="5"/>
        <item x="165"/>
        <item x="119"/>
        <item x="142"/>
        <item x="121"/>
        <item x="25"/>
        <item x="186"/>
        <item x="40"/>
        <item x="65"/>
        <item x="114"/>
        <item x="133"/>
        <item x="169"/>
        <item x="144"/>
        <item x="104"/>
        <item x="76"/>
        <item x="49"/>
        <item x="26"/>
        <item x="182"/>
        <item x="11"/>
        <item x="124"/>
        <item x="123"/>
        <item x="196"/>
        <item x="61"/>
        <item x="162"/>
        <item x="3"/>
        <item x="168"/>
        <item x="164"/>
        <item x="106"/>
        <item x="60"/>
        <item x="163"/>
        <item x="56"/>
        <item x="147"/>
        <item x="128"/>
        <item x="159"/>
        <item x="195"/>
        <item x="180"/>
        <item x="30"/>
        <item x="103"/>
        <item x="153"/>
        <item x="112"/>
        <item x="136"/>
        <item x="31"/>
        <item x="97"/>
        <item x="18"/>
        <item x="36"/>
        <item x="51"/>
        <item x="181"/>
        <item x="122"/>
        <item x="110"/>
        <item x="137"/>
        <item x="140"/>
        <item x="12"/>
        <item x="57"/>
        <item x="170"/>
        <item x="13"/>
        <item x="16"/>
        <item x="34"/>
        <item x="33"/>
        <item x="47"/>
        <item x="145"/>
        <item x="8"/>
        <item x="84"/>
        <item x="156"/>
        <item x="17"/>
        <item x="98"/>
        <item x="131"/>
        <item x="92"/>
        <item x="81"/>
        <item x="55"/>
        <item x="115"/>
        <item x="77"/>
        <item x="7"/>
        <item x="134"/>
        <item x="67"/>
        <item x="52"/>
        <item x="22"/>
        <item x="63"/>
        <item x="43"/>
        <item t="default"/>
      </items>
    </pivotField>
    <pivotField dataField="1" compact="0" showAll="0">
      <items count="195">
        <item x="133"/>
        <item x="0"/>
        <item x="151"/>
        <item x="29"/>
        <item x="46"/>
        <item x="141"/>
        <item x="155"/>
        <item x="179"/>
        <item x="137"/>
        <item x="55"/>
        <item x="105"/>
        <item x="182"/>
        <item x="11"/>
        <item x="97"/>
        <item x="191"/>
        <item x="171"/>
        <item x="130"/>
        <item x="89"/>
        <item x="76"/>
        <item x="145"/>
        <item x="169"/>
        <item x="188"/>
        <item x="5"/>
        <item x="174"/>
        <item x="19"/>
        <item x="16"/>
        <item x="177"/>
        <item x="119"/>
        <item x="190"/>
        <item x="153"/>
        <item x="18"/>
        <item x="66"/>
        <item x="26"/>
        <item x="24"/>
        <item x="112"/>
        <item x="138"/>
        <item x="7"/>
        <item x="12"/>
        <item x="184"/>
        <item x="35"/>
        <item x="113"/>
        <item x="107"/>
        <item x="92"/>
        <item x="80"/>
        <item x="114"/>
        <item x="178"/>
        <item x="144"/>
        <item x="17"/>
        <item x="59"/>
        <item x="15"/>
        <item x="160"/>
        <item x="3"/>
        <item x="108"/>
        <item x="142"/>
        <item x="192"/>
        <item x="148"/>
        <item x="13"/>
        <item x="83"/>
        <item x="71"/>
        <item x="73"/>
        <item x="99"/>
        <item x="40"/>
        <item x="157"/>
        <item x="1"/>
        <item x="181"/>
        <item x="45"/>
        <item x="166"/>
        <item x="149"/>
        <item x="118"/>
        <item x="127"/>
        <item x="172"/>
        <item x="56"/>
        <item x="72"/>
        <item x="32"/>
        <item x="85"/>
        <item x="6"/>
        <item x="152"/>
        <item x="117"/>
        <item x="36"/>
        <item x="100"/>
        <item x="58"/>
        <item x="164"/>
        <item x="159"/>
        <item x="41"/>
        <item x="81"/>
        <item x="136"/>
        <item x="65"/>
        <item x="78"/>
        <item x="129"/>
        <item x="82"/>
        <item x="115"/>
        <item x="110"/>
        <item x="158"/>
        <item x="38"/>
        <item x="104"/>
        <item x="52"/>
        <item x="167"/>
        <item x="37"/>
        <item x="183"/>
        <item x="22"/>
        <item x="48"/>
        <item x="74"/>
        <item x="79"/>
        <item x="96"/>
        <item x="154"/>
        <item x="8"/>
        <item x="120"/>
        <item x="68"/>
        <item x="101"/>
        <item x="51"/>
        <item x="186"/>
        <item x="70"/>
        <item x="49"/>
        <item x="62"/>
        <item x="33"/>
        <item x="126"/>
        <item x="94"/>
        <item x="21"/>
        <item x="67"/>
        <item x="173"/>
        <item x="121"/>
        <item x="98"/>
        <item x="34"/>
        <item x="64"/>
        <item x="2"/>
        <item x="57"/>
        <item x="43"/>
        <item x="143"/>
        <item x="14"/>
        <item x="90"/>
        <item x="122"/>
        <item x="140"/>
        <item x="146"/>
        <item x="27"/>
        <item x="87"/>
        <item x="189"/>
        <item x="103"/>
        <item x="31"/>
        <item x="168"/>
        <item x="75"/>
        <item x="106"/>
        <item x="25"/>
        <item x="175"/>
        <item x="162"/>
        <item x="131"/>
        <item x="84"/>
        <item x="156"/>
        <item x="185"/>
        <item x="54"/>
        <item x="53"/>
        <item x="116"/>
        <item x="102"/>
        <item x="20"/>
        <item x="109"/>
        <item x="163"/>
        <item x="134"/>
        <item x="10"/>
        <item x="187"/>
        <item x="63"/>
        <item x="9"/>
        <item x="95"/>
        <item x="132"/>
        <item x="69"/>
        <item x="170"/>
        <item x="39"/>
        <item x="147"/>
        <item x="91"/>
        <item x="50"/>
        <item x="193"/>
        <item x="123"/>
        <item x="42"/>
        <item x="180"/>
        <item x="135"/>
        <item x="150"/>
        <item x="93"/>
        <item x="86"/>
        <item x="61"/>
        <item x="125"/>
        <item x="47"/>
        <item x="111"/>
        <item x="176"/>
        <item x="77"/>
        <item x="44"/>
        <item x="124"/>
        <item x="165"/>
        <item x="23"/>
        <item x="60"/>
        <item x="88"/>
        <item x="4"/>
        <item x="128"/>
        <item x="139"/>
        <item x="30"/>
        <item x="28"/>
        <item x="161"/>
        <item t="default"/>
      </items>
    </pivotField>
    <pivotField dataField="1" compact="0" showAll="0">
      <items count="196">
        <item x="134"/>
        <item x="0"/>
        <item x="46"/>
        <item x="152"/>
        <item x="55"/>
        <item x="29"/>
        <item x="142"/>
        <item x="180"/>
        <item x="138"/>
        <item x="156"/>
        <item x="183"/>
        <item x="11"/>
        <item x="146"/>
        <item x="106"/>
        <item x="192"/>
        <item x="90"/>
        <item x="175"/>
        <item x="77"/>
        <item x="170"/>
        <item x="178"/>
        <item x="16"/>
        <item x="131"/>
        <item x="5"/>
        <item x="113"/>
        <item x="172"/>
        <item x="18"/>
        <item x="98"/>
        <item x="189"/>
        <item x="59"/>
        <item x="115"/>
        <item x="139"/>
        <item x="120"/>
        <item x="19"/>
        <item x="66"/>
        <item x="191"/>
        <item x="114"/>
        <item x="193"/>
        <item x="12"/>
        <item x="7"/>
        <item x="81"/>
        <item x="154"/>
        <item x="26"/>
        <item x="24"/>
        <item x="108"/>
        <item x="35"/>
        <item x="45"/>
        <item x="185"/>
        <item x="17"/>
        <item x="6"/>
        <item x="179"/>
        <item x="160"/>
        <item x="158"/>
        <item x="38"/>
        <item x="109"/>
        <item x="84"/>
        <item x="143"/>
        <item x="82"/>
        <item x="161"/>
        <item x="119"/>
        <item x="32"/>
        <item x="13"/>
        <item x="74"/>
        <item x="3"/>
        <item x="173"/>
        <item x="165"/>
        <item x="15"/>
        <item x="137"/>
        <item x="100"/>
        <item x="93"/>
        <item x="145"/>
        <item x="149"/>
        <item x="72"/>
        <item x="167"/>
        <item x="70"/>
        <item x="40"/>
        <item x="182"/>
        <item x="130"/>
        <item x="150"/>
        <item x="83"/>
        <item x="102"/>
        <item x="36"/>
        <item x="159"/>
        <item x="37"/>
        <item x="48"/>
        <item x="121"/>
        <item x="56"/>
        <item x="128"/>
        <item x="1"/>
        <item x="67"/>
        <item x="21"/>
        <item x="68"/>
        <item x="41"/>
        <item x="101"/>
        <item x="118"/>
        <item x="73"/>
        <item x="65"/>
        <item x="80"/>
        <item x="153"/>
        <item x="58"/>
        <item x="168"/>
        <item x="86"/>
        <item x="116"/>
        <item x="163"/>
        <item x="105"/>
        <item x="71"/>
        <item x="79"/>
        <item x="97"/>
        <item x="111"/>
        <item x="186"/>
        <item x="33"/>
        <item x="76"/>
        <item x="141"/>
        <item x="52"/>
        <item x="95"/>
        <item x="155"/>
        <item x="132"/>
        <item x="43"/>
        <item x="144"/>
        <item x="164"/>
        <item x="75"/>
        <item x="190"/>
        <item x="62"/>
        <item x="22"/>
        <item x="49"/>
        <item x="54"/>
        <item x="187"/>
        <item x="184"/>
        <item x="25"/>
        <item x="127"/>
        <item x="8"/>
        <item x="157"/>
        <item x="122"/>
        <item x="91"/>
        <item x="147"/>
        <item x="85"/>
        <item x="51"/>
        <item x="88"/>
        <item x="57"/>
        <item x="64"/>
        <item x="31"/>
        <item x="174"/>
        <item x="27"/>
        <item x="20"/>
        <item x="34"/>
        <item x="117"/>
        <item x="53"/>
        <item x="123"/>
        <item x="2"/>
        <item x="124"/>
        <item x="194"/>
        <item x="14"/>
        <item x="23"/>
        <item x="94"/>
        <item x="107"/>
        <item x="10"/>
        <item x="4"/>
        <item x="69"/>
        <item x="99"/>
        <item x="166"/>
        <item x="50"/>
        <item x="188"/>
        <item x="103"/>
        <item x="176"/>
        <item x="110"/>
        <item x="169"/>
        <item x="9"/>
        <item x="126"/>
        <item x="39"/>
        <item x="135"/>
        <item x="140"/>
        <item x="133"/>
        <item x="151"/>
        <item x="148"/>
        <item x="104"/>
        <item x="47"/>
        <item x="129"/>
        <item x="61"/>
        <item x="60"/>
        <item x="92"/>
        <item x="96"/>
        <item x="28"/>
        <item x="30"/>
        <item x="87"/>
        <item x="181"/>
        <item x="63"/>
        <item x="125"/>
        <item x="42"/>
        <item x="171"/>
        <item x="177"/>
        <item x="136"/>
        <item x="78"/>
        <item x="112"/>
        <item x="44"/>
        <item x="89"/>
        <item x="162"/>
        <item t="default"/>
      </items>
    </pivotField>
    <pivotField dataField="1" compact="0" showAll="0">
      <items count="196">
        <item x="134"/>
        <item x="0"/>
        <item x="29"/>
        <item x="152"/>
        <item x="142"/>
        <item x="98"/>
        <item x="46"/>
        <item x="156"/>
        <item x="180"/>
        <item x="138"/>
        <item x="172"/>
        <item x="55"/>
        <item x="106"/>
        <item x="131"/>
        <item x="183"/>
        <item x="189"/>
        <item x="19"/>
        <item x="11"/>
        <item x="154"/>
        <item x="192"/>
        <item x="93"/>
        <item x="90"/>
        <item x="191"/>
        <item x="77"/>
        <item x="120"/>
        <item x="170"/>
        <item x="5"/>
        <item x="146"/>
        <item x="24"/>
        <item x="26"/>
        <item x="145"/>
        <item x="175"/>
        <item x="185"/>
        <item x="16"/>
        <item x="35"/>
        <item x="66"/>
        <item x="178"/>
        <item x="15"/>
        <item x="7"/>
        <item x="12"/>
        <item x="3"/>
        <item x="161"/>
        <item x="18"/>
        <item x="139"/>
        <item x="108"/>
        <item x="86"/>
        <item x="179"/>
        <item x="109"/>
        <item x="143"/>
        <item x="1"/>
        <item x="149"/>
        <item x="114"/>
        <item x="17"/>
        <item x="104"/>
        <item x="99"/>
        <item x="113"/>
        <item x="81"/>
        <item x="73"/>
        <item x="153"/>
        <item x="40"/>
        <item x="184"/>
        <item x="72"/>
        <item x="79"/>
        <item x="58"/>
        <item x="182"/>
        <item x="128"/>
        <item x="13"/>
        <item x="118"/>
        <item x="74"/>
        <item x="115"/>
        <item x="84"/>
        <item x="51"/>
        <item x="100"/>
        <item x="111"/>
        <item x="52"/>
        <item x="8"/>
        <item x="56"/>
        <item x="22"/>
        <item x="101"/>
        <item x="150"/>
        <item x="193"/>
        <item x="167"/>
        <item x="59"/>
        <item x="65"/>
        <item x="116"/>
        <item x="105"/>
        <item x="41"/>
        <item x="158"/>
        <item x="36"/>
        <item x="119"/>
        <item x="168"/>
        <item x="174"/>
        <item x="173"/>
        <item x="75"/>
        <item x="14"/>
        <item x="187"/>
        <item x="32"/>
        <item x="155"/>
        <item x="2"/>
        <item x="45"/>
        <item x="127"/>
        <item x="169"/>
        <item x="34"/>
        <item x="165"/>
        <item x="130"/>
        <item x="83"/>
        <item x="6"/>
        <item x="49"/>
        <item x="97"/>
        <item x="159"/>
        <item x="62"/>
        <item x="137"/>
        <item x="82"/>
        <item x="64"/>
        <item x="176"/>
        <item x="123"/>
        <item x="37"/>
        <item x="160"/>
        <item x="57"/>
        <item x="122"/>
        <item x="80"/>
        <item x="38"/>
        <item x="95"/>
        <item x="107"/>
        <item x="33"/>
        <item x="63"/>
        <item x="48"/>
        <item x="71"/>
        <item x="68"/>
        <item x="91"/>
        <item x="27"/>
        <item x="70"/>
        <item x="121"/>
        <item x="147"/>
        <item x="88"/>
        <item x="102"/>
        <item x="43"/>
        <item x="144"/>
        <item x="96"/>
        <item x="31"/>
        <item x="110"/>
        <item x="21"/>
        <item x="135"/>
        <item x="67"/>
        <item x="103"/>
        <item x="171"/>
        <item x="141"/>
        <item x="190"/>
        <item x="53"/>
        <item x="25"/>
        <item x="85"/>
        <item x="136"/>
        <item x="133"/>
        <item x="89"/>
        <item x="157"/>
        <item x="188"/>
        <item x="42"/>
        <item x="117"/>
        <item x="9"/>
        <item x="112"/>
        <item x="76"/>
        <item x="10"/>
        <item x="54"/>
        <item x="20"/>
        <item x="132"/>
        <item x="92"/>
        <item x="44"/>
        <item x="181"/>
        <item x="186"/>
        <item x="69"/>
        <item x="163"/>
        <item x="78"/>
        <item x="177"/>
        <item x="148"/>
        <item x="87"/>
        <item x="39"/>
        <item x="164"/>
        <item x="61"/>
        <item x="125"/>
        <item x="162"/>
        <item x="151"/>
        <item x="50"/>
        <item x="47"/>
        <item x="194"/>
        <item x="126"/>
        <item x="124"/>
        <item x="94"/>
        <item x="60"/>
        <item x="129"/>
        <item x="166"/>
        <item x="23"/>
        <item x="30"/>
        <item x="140"/>
        <item x="4"/>
        <item x="28"/>
        <item t="default"/>
      </items>
    </pivotField>
    <pivotField compact="0" showAll="0">
      <items count="196">
        <item x="104"/>
        <item x="99"/>
        <item x="98"/>
        <item x="184"/>
        <item x="51"/>
        <item x="169"/>
        <item x="93"/>
        <item x="63"/>
        <item x="8"/>
        <item x="89"/>
        <item x="86"/>
        <item x="14"/>
        <item x="174"/>
        <item x="22"/>
        <item x="2"/>
        <item x="176"/>
        <item x="29"/>
        <item x="79"/>
        <item x="154"/>
        <item x="171"/>
        <item x="153"/>
        <item x="52"/>
        <item x="162"/>
        <item x="145"/>
        <item x="136"/>
        <item x="96"/>
        <item x="34"/>
        <item x="73"/>
        <item x="111"/>
        <item x="142"/>
        <item x="172"/>
        <item x="58"/>
        <item x="112"/>
        <item x="1"/>
        <item x="107"/>
        <item x="19"/>
        <item x="44"/>
        <item x="15"/>
        <item x="123"/>
        <item x="127"/>
        <item x="118"/>
        <item x="187"/>
        <item x="42"/>
        <item x="75"/>
        <item x="135"/>
        <item x="64"/>
        <item x="152"/>
        <item x="105"/>
        <item x="116"/>
        <item x="110"/>
        <item x="189"/>
        <item x="3"/>
        <item x="78"/>
        <item x="101"/>
        <item x="155"/>
        <item x="57"/>
        <item x="161"/>
        <item x="128"/>
        <item x="40"/>
        <item x="24"/>
        <item x="65"/>
        <item x="191"/>
        <item x="103"/>
        <item x="177"/>
        <item x="49"/>
        <item x="26"/>
        <item x="149"/>
        <item x="122"/>
        <item x="181"/>
        <item x="185"/>
        <item x="27"/>
        <item x="133"/>
        <item x="41"/>
        <item x="62"/>
        <item x="182"/>
        <item x="56"/>
        <item x="168"/>
        <item x="92"/>
        <item x="143"/>
        <item x="72"/>
        <item x="35"/>
        <item x="87"/>
        <item x="120"/>
        <item x="109"/>
        <item x="91"/>
        <item x="9"/>
        <item x="150"/>
        <item x="179"/>
        <item x="125"/>
        <item x="97"/>
        <item x="147"/>
        <item x="188"/>
        <item x="88"/>
        <item x="0"/>
        <item x="31"/>
        <item x="131"/>
        <item x="148"/>
        <item x="13"/>
        <item x="167"/>
        <item x="17"/>
        <item x="100"/>
        <item x="53"/>
        <item x="7"/>
        <item x="108"/>
        <item x="95"/>
        <item x="74"/>
        <item x="106"/>
        <item x="156"/>
        <item x="61"/>
        <item x="10"/>
        <item x="39"/>
        <item x="36"/>
        <item x="33"/>
        <item x="66"/>
        <item x="12"/>
        <item x="69"/>
        <item x="84"/>
        <item x="47"/>
        <item x="151"/>
        <item x="117"/>
        <item x="85"/>
        <item x="71"/>
        <item x="144"/>
        <item x="43"/>
        <item x="80"/>
        <item x="20"/>
        <item x="81"/>
        <item x="60"/>
        <item x="25"/>
        <item x="138"/>
        <item x="180"/>
        <item x="157"/>
        <item x="190"/>
        <item x="159"/>
        <item x="83"/>
        <item x="50"/>
        <item x="139"/>
        <item x="130"/>
        <item x="119"/>
        <item x="173"/>
        <item x="192"/>
        <item x="158"/>
        <item x="114"/>
        <item x="126"/>
        <item x="5"/>
        <item x="68"/>
        <item x="77"/>
        <item x="90"/>
        <item x="183"/>
        <item x="37"/>
        <item x="11"/>
        <item x="32"/>
        <item x="129"/>
        <item x="141"/>
        <item x="170"/>
        <item x="30"/>
        <item x="54"/>
        <item x="165"/>
        <item x="48"/>
        <item x="28"/>
        <item x="137"/>
        <item x="194"/>
        <item x="18"/>
        <item x="94"/>
        <item x="124"/>
        <item x="121"/>
        <item x="132"/>
        <item x="140"/>
        <item x="193"/>
        <item x="21"/>
        <item x="16"/>
        <item x="67"/>
        <item x="76"/>
        <item x="46"/>
        <item x="82"/>
        <item x="55"/>
        <item x="166"/>
        <item x="70"/>
        <item x="175"/>
        <item x="178"/>
        <item x="115"/>
        <item x="102"/>
        <item x="6"/>
        <item x="186"/>
        <item x="113"/>
        <item x="45"/>
        <item x="146"/>
        <item x="164"/>
        <item x="23"/>
        <item x="4"/>
        <item x="160"/>
        <item x="38"/>
        <item x="59"/>
        <item x="163"/>
        <item x="134"/>
        <item t="default"/>
      </items>
    </pivotField>
    <pivotField compact="0" showAll="0">
      <items count="13">
        <item x="2"/>
        <item x="3"/>
        <item x="8"/>
        <item x="4"/>
        <item x="6"/>
        <item x="10"/>
        <item x="1"/>
        <item x="9"/>
        <item x="5"/>
        <item x="7"/>
        <item x="0"/>
        <item x="1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0" baseField="0" baseItem="0"/>
    <dataField name="Sum of COGS" fld="11" baseField="0" baseItem="0"/>
    <dataField name="Sum of Gross_profit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80:AB103" firstHeaderRow="1" firstDataRow="3" firstDataCol="2"/>
  <pivotFields count="15">
    <pivotField compact="0" numFmtId="177" showAll="0">
      <items count="204">
        <item x="27"/>
        <item x="121"/>
        <item x="17"/>
        <item x="183"/>
        <item x="152"/>
        <item x="33"/>
        <item x="151"/>
        <item x="140"/>
        <item x="157"/>
        <item x="200"/>
        <item x="21"/>
        <item x="167"/>
        <item x="3"/>
        <item x="94"/>
        <item x="15"/>
        <item x="74"/>
        <item x="80"/>
        <item x="106"/>
        <item x="54"/>
        <item x="4"/>
        <item x="135"/>
        <item x="129"/>
        <item x="98"/>
        <item x="32"/>
        <item x="132"/>
        <item x="181"/>
        <item x="104"/>
        <item x="166"/>
        <item x="150"/>
        <item x="92"/>
        <item x="136"/>
        <item x="110"/>
        <item x="117"/>
        <item x="65"/>
        <item x="176"/>
        <item x="12"/>
        <item x="149"/>
        <item x="35"/>
        <item x="84"/>
        <item x="192"/>
        <item x="138"/>
        <item x="161"/>
        <item x="89"/>
        <item x="53"/>
        <item x="56"/>
        <item x="31"/>
        <item x="20"/>
        <item x="103"/>
        <item x="156"/>
        <item x="126"/>
        <item x="202"/>
        <item x="175"/>
        <item x="122"/>
        <item x="174"/>
        <item x="180"/>
        <item x="120"/>
        <item x="66"/>
        <item x="19"/>
        <item x="5"/>
        <item x="37"/>
        <item x="88"/>
        <item x="11"/>
        <item x="178"/>
        <item x="196"/>
        <item x="193"/>
        <item x="169"/>
        <item x="124"/>
        <item x="131"/>
        <item x="186"/>
        <item x="198"/>
        <item x="172"/>
        <item x="8"/>
        <item x="105"/>
        <item x="95"/>
        <item x="155"/>
        <item x="34"/>
        <item x="171"/>
        <item x="168"/>
        <item x="112"/>
        <item x="64"/>
        <item x="189"/>
        <item x="127"/>
        <item x="144"/>
        <item x="146"/>
        <item x="119"/>
        <item x="141"/>
        <item x="26"/>
        <item x="63"/>
        <item x="199"/>
        <item x="190"/>
        <item x="102"/>
        <item x="68"/>
        <item x="41"/>
        <item x="125"/>
        <item x="194"/>
        <item x="134"/>
        <item x="182"/>
        <item x="39"/>
        <item x="139"/>
        <item x="100"/>
        <item x="43"/>
        <item x="173"/>
        <item x="2"/>
        <item x="101"/>
        <item x="61"/>
        <item x="147"/>
        <item x="62"/>
        <item x="38"/>
        <item x="55"/>
        <item x="143"/>
        <item x="25"/>
        <item x="14"/>
        <item x="160"/>
        <item x="59"/>
        <item x="128"/>
        <item x="6"/>
        <item x="50"/>
        <item x="51"/>
        <item x="22"/>
        <item x="188"/>
        <item x="123"/>
        <item x="71"/>
        <item x="49"/>
        <item x="118"/>
        <item x="148"/>
        <item x="76"/>
        <item x="165"/>
        <item x="78"/>
        <item x="52"/>
        <item x="170"/>
        <item x="96"/>
        <item x="99"/>
        <item x="48"/>
        <item x="67"/>
        <item x="154"/>
        <item x="177"/>
        <item x="93"/>
        <item x="23"/>
        <item x="162"/>
        <item x="30"/>
        <item x="107"/>
        <item x="86"/>
        <item x="115"/>
        <item x="70"/>
        <item x="42"/>
        <item x="111"/>
        <item x="195"/>
        <item x="40"/>
        <item x="142"/>
        <item x="9"/>
        <item x="58"/>
        <item x="197"/>
        <item x="109"/>
        <item x="185"/>
        <item x="153"/>
        <item x="108"/>
        <item x="158"/>
        <item x="137"/>
        <item x="159"/>
        <item x="82"/>
        <item x="44"/>
        <item x="91"/>
        <item x="7"/>
        <item x="24"/>
        <item x="114"/>
        <item x="36"/>
        <item x="57"/>
        <item x="113"/>
        <item x="145"/>
        <item x="10"/>
        <item x="69"/>
        <item x="133"/>
        <item x="130"/>
        <item x="73"/>
        <item x="164"/>
        <item x="72"/>
        <item x="77"/>
        <item x="46"/>
        <item x="47"/>
        <item x="75"/>
        <item x="16"/>
        <item x="90"/>
        <item x="201"/>
        <item x="184"/>
        <item x="81"/>
        <item x="97"/>
        <item x="18"/>
        <item x="163"/>
        <item x="187"/>
        <item x="85"/>
        <item x="29"/>
        <item x="28"/>
        <item x="45"/>
        <item x="0"/>
        <item x="87"/>
        <item x="79"/>
        <item x="191"/>
        <item x="1"/>
        <item x="116"/>
        <item x="13"/>
        <item x="83"/>
        <item x="60"/>
        <item x="179"/>
        <item t="default"/>
      </items>
    </pivotField>
    <pivotField compact="0" numFmtId="176" showAll="0">
      <items count="204">
        <item x="27"/>
        <item x="121"/>
        <item x="17"/>
        <item x="183"/>
        <item x="152"/>
        <item x="33"/>
        <item x="151"/>
        <item x="140"/>
        <item x="157"/>
        <item x="200"/>
        <item x="21"/>
        <item x="167"/>
        <item x="3"/>
        <item x="94"/>
        <item x="15"/>
        <item x="74"/>
        <item x="80"/>
        <item x="106"/>
        <item x="54"/>
        <item x="4"/>
        <item x="135"/>
        <item x="129"/>
        <item x="98"/>
        <item x="32"/>
        <item x="132"/>
        <item x="181"/>
        <item x="104"/>
        <item x="166"/>
        <item x="150"/>
        <item x="92"/>
        <item x="136"/>
        <item x="110"/>
        <item x="117"/>
        <item x="65"/>
        <item x="176"/>
        <item x="12"/>
        <item x="149"/>
        <item x="35"/>
        <item x="84"/>
        <item x="192"/>
        <item x="138"/>
        <item x="161"/>
        <item x="89"/>
        <item x="53"/>
        <item x="56"/>
        <item x="31"/>
        <item x="20"/>
        <item x="103"/>
        <item x="156"/>
        <item x="126"/>
        <item x="202"/>
        <item x="175"/>
        <item x="122"/>
        <item x="174"/>
        <item x="180"/>
        <item x="120"/>
        <item x="66"/>
        <item x="19"/>
        <item x="5"/>
        <item x="37"/>
        <item x="88"/>
        <item x="11"/>
        <item x="178"/>
        <item x="196"/>
        <item x="193"/>
        <item x="169"/>
        <item x="124"/>
        <item x="131"/>
        <item x="186"/>
        <item x="198"/>
        <item x="172"/>
        <item x="8"/>
        <item x="105"/>
        <item x="95"/>
        <item x="155"/>
        <item x="34"/>
        <item x="171"/>
        <item x="168"/>
        <item x="112"/>
        <item x="64"/>
        <item x="189"/>
        <item x="127"/>
        <item x="144"/>
        <item x="146"/>
        <item x="119"/>
        <item x="141"/>
        <item x="26"/>
        <item x="63"/>
        <item x="199"/>
        <item x="190"/>
        <item x="102"/>
        <item x="68"/>
        <item x="41"/>
        <item x="125"/>
        <item x="194"/>
        <item x="134"/>
        <item x="182"/>
        <item x="39"/>
        <item x="139"/>
        <item x="100"/>
        <item x="43"/>
        <item x="173"/>
        <item x="2"/>
        <item x="101"/>
        <item x="61"/>
        <item x="147"/>
        <item x="62"/>
        <item x="38"/>
        <item x="55"/>
        <item x="143"/>
        <item x="25"/>
        <item x="14"/>
        <item x="160"/>
        <item x="59"/>
        <item x="128"/>
        <item x="6"/>
        <item x="50"/>
        <item x="51"/>
        <item x="22"/>
        <item x="188"/>
        <item x="123"/>
        <item x="71"/>
        <item x="49"/>
        <item x="118"/>
        <item x="148"/>
        <item x="76"/>
        <item x="165"/>
        <item x="78"/>
        <item x="52"/>
        <item x="170"/>
        <item x="96"/>
        <item x="99"/>
        <item x="48"/>
        <item x="67"/>
        <item x="154"/>
        <item x="177"/>
        <item x="93"/>
        <item x="23"/>
        <item x="162"/>
        <item x="30"/>
        <item x="107"/>
        <item x="86"/>
        <item x="115"/>
        <item x="70"/>
        <item x="42"/>
        <item x="111"/>
        <item x="195"/>
        <item x="40"/>
        <item x="142"/>
        <item x="9"/>
        <item x="58"/>
        <item x="197"/>
        <item x="109"/>
        <item x="185"/>
        <item x="153"/>
        <item x="108"/>
        <item x="158"/>
        <item x="137"/>
        <item x="159"/>
        <item x="82"/>
        <item x="44"/>
        <item x="91"/>
        <item x="7"/>
        <item x="24"/>
        <item x="114"/>
        <item x="36"/>
        <item x="57"/>
        <item x="113"/>
        <item x="145"/>
        <item x="10"/>
        <item x="69"/>
        <item x="133"/>
        <item x="130"/>
        <item x="73"/>
        <item x="164"/>
        <item x="72"/>
        <item x="77"/>
        <item x="46"/>
        <item x="47"/>
        <item x="75"/>
        <item x="16"/>
        <item x="90"/>
        <item x="201"/>
        <item x="184"/>
        <item x="81"/>
        <item x="97"/>
        <item x="18"/>
        <item x="163"/>
        <item x="187"/>
        <item x="85"/>
        <item x="29"/>
        <item x="28"/>
        <item x="45"/>
        <item x="0"/>
        <item x="87"/>
        <item x="79"/>
        <item x="191"/>
        <item x="1"/>
        <item x="116"/>
        <item x="13"/>
        <item x="83"/>
        <item x="60"/>
        <item x="179"/>
        <item t="default"/>
      </items>
    </pivotField>
    <pivotField compact="0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compact="0" showAll="0">
      <items count="31">
        <item x="7"/>
        <item x="20"/>
        <item x="3"/>
        <item x="16"/>
        <item x="6"/>
        <item x="28"/>
        <item x="29"/>
        <item x="0"/>
        <item x="22"/>
        <item x="26"/>
        <item x="19"/>
        <item x="23"/>
        <item x="13"/>
        <item x="18"/>
        <item x="1"/>
        <item x="24"/>
        <item x="8"/>
        <item x="11"/>
        <item x="12"/>
        <item x="10"/>
        <item x="17"/>
        <item x="15"/>
        <item x="5"/>
        <item x="4"/>
        <item x="21"/>
        <item x="2"/>
        <item x="25"/>
        <item x="14"/>
        <item x="9"/>
        <item x="27"/>
        <item t="default"/>
      </items>
    </pivotField>
    <pivotField axis="axisRow" compact="0" multipleItemSelectionAllowed="1" showAll="0">
      <items count="5">
        <item x="3"/>
        <item x="0"/>
        <item x="1"/>
        <item x="2"/>
        <item t="default"/>
      </items>
    </pivotField>
    <pivotField axis="axisRow" compact="0" multipleItemSelectionAllowed="1" showAll="0">
      <items count="5">
        <item x="3"/>
        <item x="0"/>
        <item x="1"/>
        <item x="2"/>
        <item t="default"/>
      </items>
    </pivotField>
    <pivotField dataField="1" compact="0" showAll="0">
      <items count="27">
        <item x="25"/>
        <item x="0"/>
        <item x="11"/>
        <item x="9"/>
        <item x="5"/>
        <item x="6"/>
        <item x="18"/>
        <item x="21"/>
        <item x="16"/>
        <item x="2"/>
        <item x="1"/>
        <item x="3"/>
        <item x="8"/>
        <item x="12"/>
        <item x="10"/>
        <item x="7"/>
        <item x="20"/>
        <item x="17"/>
        <item x="19"/>
        <item x="15"/>
        <item x="23"/>
        <item x="22"/>
        <item x="24"/>
        <item x="13"/>
        <item x="4"/>
        <item x="14"/>
        <item t="default"/>
      </items>
    </pivotField>
    <pivotField compact="0" showAll="0">
      <items count="199">
        <item x="149"/>
        <item x="194"/>
        <item x="35"/>
        <item x="0"/>
        <item x="107"/>
        <item x="113"/>
        <item x="83"/>
        <item x="118"/>
        <item x="148"/>
        <item x="154"/>
        <item x="175"/>
        <item x="196"/>
        <item x="181"/>
        <item x="126"/>
        <item x="187"/>
        <item x="184"/>
        <item x="156"/>
        <item x="180"/>
        <item x="59"/>
        <item x="140"/>
        <item x="182"/>
        <item x="7"/>
        <item x="73"/>
        <item x="85"/>
        <item x="169"/>
        <item x="45"/>
        <item x="17"/>
        <item x="13"/>
        <item x="170"/>
        <item x="153"/>
        <item x="56"/>
        <item x="158"/>
        <item x="150"/>
        <item x="22"/>
        <item x="80"/>
        <item x="96"/>
        <item x="8"/>
        <item x="3"/>
        <item x="186"/>
        <item x="40"/>
        <item x="161"/>
        <item x="62"/>
        <item x="92"/>
        <item x="112"/>
        <item x="135"/>
        <item x="145"/>
        <item x="15"/>
        <item x="78"/>
        <item x="55"/>
        <item x="152"/>
        <item x="167"/>
        <item x="141"/>
        <item x="71"/>
        <item x="41"/>
        <item x="191"/>
        <item x="29"/>
        <item x="5"/>
        <item x="51"/>
        <item x="46"/>
        <item x="132"/>
        <item x="19"/>
        <item x="81"/>
        <item x="87"/>
        <item x="1"/>
        <item x="36"/>
        <item x="94"/>
        <item x="143"/>
        <item x="76"/>
        <item x="120"/>
        <item x="157"/>
        <item x="105"/>
        <item x="90"/>
        <item x="104"/>
        <item x="64"/>
        <item x="146"/>
        <item x="68"/>
        <item x="43"/>
        <item x="97"/>
        <item x="106"/>
        <item x="33"/>
        <item x="99"/>
        <item x="139"/>
        <item x="74"/>
        <item x="75"/>
        <item x="155"/>
        <item x="111"/>
        <item x="25"/>
        <item x="174"/>
        <item x="32"/>
        <item x="109"/>
        <item x="98"/>
        <item x="166"/>
        <item x="193"/>
        <item x="84"/>
        <item x="102"/>
        <item x="103"/>
        <item x="14"/>
        <item x="165"/>
        <item x="114"/>
        <item x="108"/>
        <item x="133"/>
        <item x="89"/>
        <item x="189"/>
        <item x="130"/>
        <item x="144"/>
        <item x="34"/>
        <item x="70"/>
        <item x="63"/>
        <item x="142"/>
        <item x="119"/>
        <item x="136"/>
        <item x="125"/>
        <item x="172"/>
        <item x="100"/>
        <item x="192"/>
        <item x="58"/>
        <item x="21"/>
        <item x="117"/>
        <item x="121"/>
        <item x="197"/>
        <item x="65"/>
        <item x="31"/>
        <item x="93"/>
        <item x="47"/>
        <item x="171"/>
        <item x="122"/>
        <item x="54"/>
        <item x="190"/>
        <item x="86"/>
        <item x="162"/>
        <item x="177"/>
        <item x="61"/>
        <item x="178"/>
        <item x="12"/>
        <item x="48"/>
        <item x="131"/>
        <item x="16"/>
        <item x="27"/>
        <item x="124"/>
        <item x="44"/>
        <item x="91"/>
        <item x="23"/>
        <item x="79"/>
        <item x="110"/>
        <item x="123"/>
        <item x="188"/>
        <item x="88"/>
        <item x="67"/>
        <item x="101"/>
        <item x="183"/>
        <item x="50"/>
        <item x="128"/>
        <item x="151"/>
        <item x="179"/>
        <item x="82"/>
        <item x="4"/>
        <item x="39"/>
        <item x="185"/>
        <item x="6"/>
        <item x="168"/>
        <item x="116"/>
        <item x="53"/>
        <item x="9"/>
        <item x="173"/>
        <item x="20"/>
        <item x="2"/>
        <item x="57"/>
        <item x="37"/>
        <item x="60"/>
        <item x="11"/>
        <item x="176"/>
        <item x="18"/>
        <item x="30"/>
        <item x="28"/>
        <item x="127"/>
        <item x="69"/>
        <item x="66"/>
        <item x="134"/>
        <item x="49"/>
        <item x="42"/>
        <item x="159"/>
        <item x="26"/>
        <item x="77"/>
        <item x="138"/>
        <item x="160"/>
        <item x="38"/>
        <item x="164"/>
        <item x="95"/>
        <item x="147"/>
        <item x="24"/>
        <item x="163"/>
        <item x="195"/>
        <item x="115"/>
        <item x="137"/>
        <item x="72"/>
        <item x="10"/>
        <item x="52"/>
        <item x="129"/>
        <item t="default"/>
      </items>
    </pivotField>
    <pivotField compact="0" showAll="0">
      <items count="200">
        <item x="152"/>
        <item x="115"/>
        <item x="197"/>
        <item x="59"/>
        <item x="182"/>
        <item x="108"/>
        <item x="177"/>
        <item x="84"/>
        <item x="0"/>
        <item x="35"/>
        <item x="45"/>
        <item x="195"/>
        <item x="120"/>
        <item x="163"/>
        <item x="70"/>
        <item x="151"/>
        <item x="184"/>
        <item x="183"/>
        <item x="158"/>
        <item x="160"/>
        <item x="186"/>
        <item x="156"/>
        <item x="7"/>
        <item x="74"/>
        <item x="128"/>
        <item x="171"/>
        <item x="137"/>
        <item x="55"/>
        <item x="81"/>
        <item x="17"/>
        <item x="13"/>
        <item x="46"/>
        <item x="114"/>
        <item x="169"/>
        <item x="82"/>
        <item x="142"/>
        <item x="153"/>
        <item x="172"/>
        <item x="97"/>
        <item x="56"/>
        <item x="5"/>
        <item x="86"/>
        <item x="3"/>
        <item x="62"/>
        <item x="192"/>
        <item x="40"/>
        <item x="155"/>
        <item x="77"/>
        <item x="113"/>
        <item x="168"/>
        <item x="22"/>
        <item x="159"/>
        <item x="76"/>
        <item x="36"/>
        <item x="143"/>
        <item x="8"/>
        <item x="72"/>
        <item x="95"/>
        <item x="68"/>
        <item x="88"/>
        <item x="41"/>
        <item x="147"/>
        <item x="15"/>
        <item x="149"/>
        <item x="146"/>
        <item x="188"/>
        <item x="93"/>
        <item x="141"/>
        <item x="43"/>
        <item x="106"/>
        <item x="111"/>
        <item x="32"/>
        <item x="79"/>
        <item x="132"/>
        <item x="134"/>
        <item x="19"/>
        <item x="25"/>
        <item x="29"/>
        <item x="121"/>
        <item x="194"/>
        <item x="91"/>
        <item x="21"/>
        <item x="122"/>
        <item x="148"/>
        <item x="1"/>
        <item x="90"/>
        <item x="179"/>
        <item x="33"/>
        <item x="23"/>
        <item x="198"/>
        <item x="85"/>
        <item x="51"/>
        <item x="124"/>
        <item x="100"/>
        <item x="94"/>
        <item x="174"/>
        <item x="145"/>
        <item x="189"/>
        <item x="105"/>
        <item x="16"/>
        <item x="4"/>
        <item x="102"/>
        <item x="54"/>
        <item x="64"/>
        <item x="48"/>
        <item x="138"/>
        <item x="119"/>
        <item x="6"/>
        <item x="67"/>
        <item x="71"/>
        <item x="144"/>
        <item x="170"/>
        <item x="157"/>
        <item x="166"/>
        <item x="107"/>
        <item x="126"/>
        <item x="75"/>
        <item x="38"/>
        <item x="103"/>
        <item x="109"/>
        <item x="110"/>
        <item x="47"/>
        <item x="176"/>
        <item x="116"/>
        <item x="187"/>
        <item x="18"/>
        <item x="80"/>
        <item x="50"/>
        <item x="98"/>
        <item x="130"/>
        <item x="61"/>
        <item x="12"/>
        <item x="83"/>
        <item x="135"/>
        <item x="28"/>
        <item x="31"/>
        <item x="140"/>
        <item x="37"/>
        <item x="191"/>
        <item x="11"/>
        <item x="190"/>
        <item x="30"/>
        <item x="87"/>
        <item x="101"/>
        <item x="154"/>
        <item x="129"/>
        <item x="193"/>
        <item x="14"/>
        <item x="127"/>
        <item x="65"/>
        <item x="20"/>
        <item x="167"/>
        <item x="34"/>
        <item x="60"/>
        <item x="123"/>
        <item x="39"/>
        <item x="58"/>
        <item x="164"/>
        <item x="125"/>
        <item x="133"/>
        <item x="27"/>
        <item x="92"/>
        <item x="196"/>
        <item x="99"/>
        <item x="162"/>
        <item x="53"/>
        <item x="139"/>
        <item x="63"/>
        <item x="69"/>
        <item x="185"/>
        <item x="66"/>
        <item x="104"/>
        <item x="9"/>
        <item x="44"/>
        <item x="117"/>
        <item x="181"/>
        <item x="180"/>
        <item x="173"/>
        <item x="112"/>
        <item x="10"/>
        <item x="150"/>
        <item x="57"/>
        <item x="118"/>
        <item x="131"/>
        <item x="49"/>
        <item x="89"/>
        <item x="161"/>
        <item x="26"/>
        <item x="175"/>
        <item x="24"/>
        <item x="78"/>
        <item x="2"/>
        <item x="42"/>
        <item x="178"/>
        <item x="136"/>
        <item x="96"/>
        <item x="165"/>
        <item x="73"/>
        <item x="52"/>
        <item t="default"/>
      </items>
    </pivotField>
    <pivotField compact="0" showAll="0">
      <items count="201">
        <item x="80"/>
        <item x="138"/>
        <item x="64"/>
        <item x="0"/>
        <item x="35"/>
        <item x="174"/>
        <item x="175"/>
        <item x="58"/>
        <item x="197"/>
        <item x="194"/>
        <item x="192"/>
        <item x="130"/>
        <item x="15"/>
        <item x="46"/>
        <item x="72"/>
        <item x="29"/>
        <item x="188"/>
        <item x="48"/>
        <item x="99"/>
        <item x="28"/>
        <item x="158"/>
        <item x="167"/>
        <item x="190"/>
        <item x="129"/>
        <item x="1"/>
        <item x="73"/>
        <item x="100"/>
        <item x="83"/>
        <item x="113"/>
        <item x="50"/>
        <item x="9"/>
        <item x="20"/>
        <item x="151"/>
        <item x="96"/>
        <item x="69"/>
        <item x="59"/>
        <item x="193"/>
        <item x="19"/>
        <item x="107"/>
        <item x="14"/>
        <item x="191"/>
        <item x="150"/>
        <item x="171"/>
        <item x="139"/>
        <item x="94"/>
        <item x="118"/>
        <item x="66"/>
        <item x="111"/>
        <item x="176"/>
        <item x="102"/>
        <item x="178"/>
        <item x="166"/>
        <item x="109"/>
        <item x="44"/>
        <item x="189"/>
        <item x="127"/>
        <item x="198"/>
        <item x="45"/>
        <item x="116"/>
        <item x="161"/>
        <item x="27"/>
        <item x="21"/>
        <item x="88"/>
        <item x="135"/>
        <item x="38"/>
        <item x="53"/>
        <item x="4"/>
        <item x="32"/>
        <item x="157"/>
        <item x="86"/>
        <item x="74"/>
        <item x="120"/>
        <item x="105"/>
        <item x="79"/>
        <item x="39"/>
        <item x="108"/>
        <item x="146"/>
        <item x="41"/>
        <item x="68"/>
        <item x="6"/>
        <item x="62"/>
        <item x="184"/>
        <item x="187"/>
        <item x="91"/>
        <item x="160"/>
        <item x="71"/>
        <item x="24"/>
        <item x="78"/>
        <item x="149"/>
        <item x="82"/>
        <item x="85"/>
        <item x="90"/>
        <item x="185"/>
        <item x="75"/>
        <item x="183"/>
        <item x="141"/>
        <item x="199"/>
        <item x="23"/>
        <item x="37"/>
        <item x="126"/>
        <item x="173"/>
        <item x="93"/>
        <item x="42"/>
        <item x="70"/>
        <item x="148"/>
        <item x="132"/>
        <item x="179"/>
        <item x="10"/>
        <item x="101"/>
        <item x="152"/>
        <item x="95"/>
        <item x="177"/>
        <item x="54"/>
        <item x="154"/>
        <item x="125"/>
        <item x="117"/>
        <item x="155"/>
        <item x="89"/>
        <item x="172"/>
        <item x="2"/>
        <item x="143"/>
        <item x="87"/>
        <item x="5"/>
        <item x="165"/>
        <item x="119"/>
        <item x="142"/>
        <item x="121"/>
        <item x="25"/>
        <item x="186"/>
        <item x="40"/>
        <item x="65"/>
        <item x="114"/>
        <item x="133"/>
        <item x="169"/>
        <item x="144"/>
        <item x="104"/>
        <item x="76"/>
        <item x="49"/>
        <item x="26"/>
        <item x="182"/>
        <item x="11"/>
        <item x="124"/>
        <item x="123"/>
        <item x="196"/>
        <item x="61"/>
        <item x="162"/>
        <item x="3"/>
        <item x="168"/>
        <item x="164"/>
        <item x="106"/>
        <item x="60"/>
        <item x="163"/>
        <item x="56"/>
        <item x="147"/>
        <item x="128"/>
        <item x="159"/>
        <item x="195"/>
        <item x="180"/>
        <item x="30"/>
        <item x="103"/>
        <item x="153"/>
        <item x="112"/>
        <item x="136"/>
        <item x="31"/>
        <item x="97"/>
        <item x="18"/>
        <item x="36"/>
        <item x="51"/>
        <item x="181"/>
        <item x="122"/>
        <item x="110"/>
        <item x="137"/>
        <item x="140"/>
        <item x="12"/>
        <item x="57"/>
        <item x="170"/>
        <item x="13"/>
        <item x="16"/>
        <item x="34"/>
        <item x="33"/>
        <item x="47"/>
        <item x="145"/>
        <item x="8"/>
        <item x="84"/>
        <item x="156"/>
        <item x="17"/>
        <item x="98"/>
        <item x="131"/>
        <item x="92"/>
        <item x="81"/>
        <item x="55"/>
        <item x="115"/>
        <item x="77"/>
        <item x="7"/>
        <item x="134"/>
        <item x="67"/>
        <item x="52"/>
        <item x="22"/>
        <item x="63"/>
        <item x="43"/>
        <item t="default"/>
      </items>
    </pivotField>
    <pivotField dataField="1" compact="0" showAll="0">
      <items count="195">
        <item x="133"/>
        <item x="0"/>
        <item x="151"/>
        <item x="29"/>
        <item x="46"/>
        <item x="141"/>
        <item x="155"/>
        <item x="179"/>
        <item x="137"/>
        <item x="55"/>
        <item x="105"/>
        <item x="182"/>
        <item x="11"/>
        <item x="97"/>
        <item x="191"/>
        <item x="171"/>
        <item x="130"/>
        <item x="89"/>
        <item x="76"/>
        <item x="145"/>
        <item x="169"/>
        <item x="188"/>
        <item x="5"/>
        <item x="174"/>
        <item x="19"/>
        <item x="16"/>
        <item x="177"/>
        <item x="119"/>
        <item x="190"/>
        <item x="153"/>
        <item x="18"/>
        <item x="66"/>
        <item x="26"/>
        <item x="24"/>
        <item x="112"/>
        <item x="138"/>
        <item x="7"/>
        <item x="12"/>
        <item x="184"/>
        <item x="35"/>
        <item x="113"/>
        <item x="107"/>
        <item x="92"/>
        <item x="80"/>
        <item x="114"/>
        <item x="178"/>
        <item x="144"/>
        <item x="17"/>
        <item x="59"/>
        <item x="15"/>
        <item x="160"/>
        <item x="3"/>
        <item x="108"/>
        <item x="142"/>
        <item x="192"/>
        <item x="148"/>
        <item x="13"/>
        <item x="83"/>
        <item x="71"/>
        <item x="73"/>
        <item x="99"/>
        <item x="40"/>
        <item x="157"/>
        <item x="1"/>
        <item x="181"/>
        <item x="45"/>
        <item x="166"/>
        <item x="149"/>
        <item x="118"/>
        <item x="127"/>
        <item x="172"/>
        <item x="56"/>
        <item x="72"/>
        <item x="32"/>
        <item x="85"/>
        <item x="6"/>
        <item x="152"/>
        <item x="117"/>
        <item x="36"/>
        <item x="100"/>
        <item x="58"/>
        <item x="164"/>
        <item x="159"/>
        <item x="41"/>
        <item x="81"/>
        <item x="136"/>
        <item x="65"/>
        <item x="78"/>
        <item x="129"/>
        <item x="82"/>
        <item x="115"/>
        <item x="110"/>
        <item x="158"/>
        <item x="38"/>
        <item x="104"/>
        <item x="52"/>
        <item x="167"/>
        <item x="37"/>
        <item x="183"/>
        <item x="22"/>
        <item x="48"/>
        <item x="74"/>
        <item x="79"/>
        <item x="96"/>
        <item x="154"/>
        <item x="8"/>
        <item x="120"/>
        <item x="68"/>
        <item x="101"/>
        <item x="51"/>
        <item x="186"/>
        <item x="70"/>
        <item x="49"/>
        <item x="62"/>
        <item x="33"/>
        <item x="126"/>
        <item x="94"/>
        <item x="21"/>
        <item x="67"/>
        <item x="173"/>
        <item x="121"/>
        <item x="98"/>
        <item x="34"/>
        <item x="64"/>
        <item x="2"/>
        <item x="57"/>
        <item x="43"/>
        <item x="143"/>
        <item x="14"/>
        <item x="90"/>
        <item x="122"/>
        <item x="140"/>
        <item x="146"/>
        <item x="27"/>
        <item x="87"/>
        <item x="189"/>
        <item x="103"/>
        <item x="31"/>
        <item x="168"/>
        <item x="75"/>
        <item x="106"/>
        <item x="25"/>
        <item x="175"/>
        <item x="162"/>
        <item x="131"/>
        <item x="84"/>
        <item x="156"/>
        <item x="185"/>
        <item x="54"/>
        <item x="53"/>
        <item x="116"/>
        <item x="102"/>
        <item x="20"/>
        <item x="109"/>
        <item x="163"/>
        <item x="134"/>
        <item x="10"/>
        <item x="187"/>
        <item x="63"/>
        <item x="9"/>
        <item x="95"/>
        <item x="132"/>
        <item x="69"/>
        <item x="170"/>
        <item x="39"/>
        <item x="147"/>
        <item x="91"/>
        <item x="50"/>
        <item x="193"/>
        <item x="123"/>
        <item x="42"/>
        <item x="180"/>
        <item x="135"/>
        <item x="150"/>
        <item x="93"/>
        <item x="86"/>
        <item x="61"/>
        <item x="125"/>
        <item x="47"/>
        <item x="111"/>
        <item x="176"/>
        <item x="77"/>
        <item x="44"/>
        <item x="124"/>
        <item x="165"/>
        <item x="23"/>
        <item x="60"/>
        <item x="88"/>
        <item x="4"/>
        <item x="128"/>
        <item x="139"/>
        <item x="30"/>
        <item x="28"/>
        <item x="161"/>
        <item t="default"/>
      </items>
    </pivotField>
    <pivotField compact="0" showAll="0">
      <items count="196">
        <item x="134"/>
        <item x="0"/>
        <item x="46"/>
        <item x="152"/>
        <item x="55"/>
        <item x="29"/>
        <item x="142"/>
        <item x="180"/>
        <item x="138"/>
        <item x="156"/>
        <item x="183"/>
        <item x="11"/>
        <item x="146"/>
        <item x="106"/>
        <item x="192"/>
        <item x="90"/>
        <item x="175"/>
        <item x="77"/>
        <item x="170"/>
        <item x="178"/>
        <item x="16"/>
        <item x="131"/>
        <item x="5"/>
        <item x="113"/>
        <item x="172"/>
        <item x="18"/>
        <item x="98"/>
        <item x="189"/>
        <item x="59"/>
        <item x="115"/>
        <item x="139"/>
        <item x="120"/>
        <item x="19"/>
        <item x="66"/>
        <item x="191"/>
        <item x="114"/>
        <item x="193"/>
        <item x="12"/>
        <item x="7"/>
        <item x="81"/>
        <item x="154"/>
        <item x="26"/>
        <item x="24"/>
        <item x="108"/>
        <item x="35"/>
        <item x="45"/>
        <item x="185"/>
        <item x="17"/>
        <item x="6"/>
        <item x="179"/>
        <item x="160"/>
        <item x="158"/>
        <item x="38"/>
        <item x="109"/>
        <item x="84"/>
        <item x="143"/>
        <item x="82"/>
        <item x="161"/>
        <item x="119"/>
        <item x="32"/>
        <item x="13"/>
        <item x="74"/>
        <item x="3"/>
        <item x="173"/>
        <item x="165"/>
        <item x="15"/>
        <item x="137"/>
        <item x="100"/>
        <item x="93"/>
        <item x="145"/>
        <item x="149"/>
        <item x="72"/>
        <item x="167"/>
        <item x="70"/>
        <item x="40"/>
        <item x="182"/>
        <item x="130"/>
        <item x="150"/>
        <item x="83"/>
        <item x="102"/>
        <item x="36"/>
        <item x="159"/>
        <item x="37"/>
        <item x="48"/>
        <item x="121"/>
        <item x="56"/>
        <item x="128"/>
        <item x="1"/>
        <item x="67"/>
        <item x="21"/>
        <item x="68"/>
        <item x="41"/>
        <item x="101"/>
        <item x="118"/>
        <item x="73"/>
        <item x="65"/>
        <item x="80"/>
        <item x="153"/>
        <item x="58"/>
        <item x="168"/>
        <item x="86"/>
        <item x="116"/>
        <item x="163"/>
        <item x="105"/>
        <item x="71"/>
        <item x="79"/>
        <item x="97"/>
        <item x="111"/>
        <item x="186"/>
        <item x="33"/>
        <item x="76"/>
        <item x="141"/>
        <item x="52"/>
        <item x="95"/>
        <item x="155"/>
        <item x="132"/>
        <item x="43"/>
        <item x="144"/>
        <item x="164"/>
        <item x="75"/>
        <item x="190"/>
        <item x="62"/>
        <item x="22"/>
        <item x="49"/>
        <item x="54"/>
        <item x="187"/>
        <item x="184"/>
        <item x="25"/>
        <item x="127"/>
        <item x="8"/>
        <item x="157"/>
        <item x="122"/>
        <item x="91"/>
        <item x="147"/>
        <item x="85"/>
        <item x="51"/>
        <item x="88"/>
        <item x="57"/>
        <item x="64"/>
        <item x="31"/>
        <item x="174"/>
        <item x="27"/>
        <item x="20"/>
        <item x="34"/>
        <item x="117"/>
        <item x="53"/>
        <item x="123"/>
        <item x="2"/>
        <item x="124"/>
        <item x="194"/>
        <item x="14"/>
        <item x="23"/>
        <item x="94"/>
        <item x="107"/>
        <item x="10"/>
        <item x="4"/>
        <item x="69"/>
        <item x="99"/>
        <item x="166"/>
        <item x="50"/>
        <item x="188"/>
        <item x="103"/>
        <item x="176"/>
        <item x="110"/>
        <item x="169"/>
        <item x="9"/>
        <item x="126"/>
        <item x="39"/>
        <item x="135"/>
        <item x="140"/>
        <item x="133"/>
        <item x="151"/>
        <item x="148"/>
        <item x="104"/>
        <item x="47"/>
        <item x="129"/>
        <item x="61"/>
        <item x="60"/>
        <item x="92"/>
        <item x="96"/>
        <item x="28"/>
        <item x="30"/>
        <item x="87"/>
        <item x="181"/>
        <item x="63"/>
        <item x="125"/>
        <item x="42"/>
        <item x="171"/>
        <item x="177"/>
        <item x="136"/>
        <item x="78"/>
        <item x="112"/>
        <item x="44"/>
        <item x="89"/>
        <item x="162"/>
        <item t="default"/>
      </items>
    </pivotField>
    <pivotField compact="0" showAll="0">
      <items count="196">
        <item x="134"/>
        <item x="0"/>
        <item x="29"/>
        <item x="152"/>
        <item x="142"/>
        <item x="98"/>
        <item x="46"/>
        <item x="156"/>
        <item x="180"/>
        <item x="138"/>
        <item x="172"/>
        <item x="55"/>
        <item x="106"/>
        <item x="131"/>
        <item x="183"/>
        <item x="189"/>
        <item x="19"/>
        <item x="11"/>
        <item x="154"/>
        <item x="192"/>
        <item x="93"/>
        <item x="90"/>
        <item x="191"/>
        <item x="77"/>
        <item x="120"/>
        <item x="170"/>
        <item x="5"/>
        <item x="146"/>
        <item x="24"/>
        <item x="26"/>
        <item x="145"/>
        <item x="175"/>
        <item x="185"/>
        <item x="16"/>
        <item x="35"/>
        <item x="66"/>
        <item x="178"/>
        <item x="15"/>
        <item x="7"/>
        <item x="12"/>
        <item x="3"/>
        <item x="161"/>
        <item x="18"/>
        <item x="139"/>
        <item x="108"/>
        <item x="86"/>
        <item x="179"/>
        <item x="109"/>
        <item x="143"/>
        <item x="1"/>
        <item x="149"/>
        <item x="114"/>
        <item x="17"/>
        <item x="104"/>
        <item x="99"/>
        <item x="113"/>
        <item x="81"/>
        <item x="73"/>
        <item x="153"/>
        <item x="40"/>
        <item x="184"/>
        <item x="72"/>
        <item x="79"/>
        <item x="58"/>
        <item x="182"/>
        <item x="128"/>
        <item x="13"/>
        <item x="118"/>
        <item x="74"/>
        <item x="115"/>
        <item x="84"/>
        <item x="51"/>
        <item x="100"/>
        <item x="111"/>
        <item x="52"/>
        <item x="8"/>
        <item x="56"/>
        <item x="22"/>
        <item x="101"/>
        <item x="150"/>
        <item x="193"/>
        <item x="167"/>
        <item x="59"/>
        <item x="65"/>
        <item x="116"/>
        <item x="105"/>
        <item x="41"/>
        <item x="158"/>
        <item x="36"/>
        <item x="119"/>
        <item x="168"/>
        <item x="174"/>
        <item x="173"/>
        <item x="75"/>
        <item x="14"/>
        <item x="187"/>
        <item x="32"/>
        <item x="155"/>
        <item x="2"/>
        <item x="45"/>
        <item x="127"/>
        <item x="169"/>
        <item x="34"/>
        <item x="165"/>
        <item x="130"/>
        <item x="83"/>
        <item x="6"/>
        <item x="49"/>
        <item x="97"/>
        <item x="159"/>
        <item x="62"/>
        <item x="137"/>
        <item x="82"/>
        <item x="64"/>
        <item x="176"/>
        <item x="123"/>
        <item x="37"/>
        <item x="160"/>
        <item x="57"/>
        <item x="122"/>
        <item x="80"/>
        <item x="38"/>
        <item x="95"/>
        <item x="107"/>
        <item x="33"/>
        <item x="63"/>
        <item x="48"/>
        <item x="71"/>
        <item x="68"/>
        <item x="91"/>
        <item x="27"/>
        <item x="70"/>
        <item x="121"/>
        <item x="147"/>
        <item x="88"/>
        <item x="102"/>
        <item x="43"/>
        <item x="144"/>
        <item x="96"/>
        <item x="31"/>
        <item x="110"/>
        <item x="21"/>
        <item x="135"/>
        <item x="67"/>
        <item x="103"/>
        <item x="171"/>
        <item x="141"/>
        <item x="190"/>
        <item x="53"/>
        <item x="25"/>
        <item x="85"/>
        <item x="136"/>
        <item x="133"/>
        <item x="89"/>
        <item x="157"/>
        <item x="188"/>
        <item x="42"/>
        <item x="117"/>
        <item x="9"/>
        <item x="112"/>
        <item x="76"/>
        <item x="10"/>
        <item x="54"/>
        <item x="20"/>
        <item x="132"/>
        <item x="92"/>
        <item x="44"/>
        <item x="181"/>
        <item x="186"/>
        <item x="69"/>
        <item x="163"/>
        <item x="78"/>
        <item x="177"/>
        <item x="148"/>
        <item x="87"/>
        <item x="39"/>
        <item x="164"/>
        <item x="61"/>
        <item x="125"/>
        <item x="162"/>
        <item x="151"/>
        <item x="50"/>
        <item x="47"/>
        <item x="194"/>
        <item x="126"/>
        <item x="124"/>
        <item x="94"/>
        <item x="60"/>
        <item x="129"/>
        <item x="166"/>
        <item x="23"/>
        <item x="30"/>
        <item x="140"/>
        <item x="4"/>
        <item x="28"/>
        <item t="default"/>
      </items>
    </pivotField>
    <pivotField compact="0" showAll="0">
      <items count="196">
        <item x="104"/>
        <item x="99"/>
        <item x="98"/>
        <item x="184"/>
        <item x="51"/>
        <item x="169"/>
        <item x="93"/>
        <item x="63"/>
        <item x="8"/>
        <item x="89"/>
        <item x="86"/>
        <item x="14"/>
        <item x="174"/>
        <item x="22"/>
        <item x="2"/>
        <item x="176"/>
        <item x="29"/>
        <item x="79"/>
        <item x="154"/>
        <item x="171"/>
        <item x="153"/>
        <item x="52"/>
        <item x="162"/>
        <item x="145"/>
        <item x="136"/>
        <item x="96"/>
        <item x="34"/>
        <item x="73"/>
        <item x="111"/>
        <item x="142"/>
        <item x="172"/>
        <item x="58"/>
        <item x="112"/>
        <item x="1"/>
        <item x="107"/>
        <item x="19"/>
        <item x="44"/>
        <item x="15"/>
        <item x="123"/>
        <item x="127"/>
        <item x="118"/>
        <item x="187"/>
        <item x="42"/>
        <item x="75"/>
        <item x="135"/>
        <item x="64"/>
        <item x="152"/>
        <item x="105"/>
        <item x="116"/>
        <item x="110"/>
        <item x="189"/>
        <item x="3"/>
        <item x="78"/>
        <item x="101"/>
        <item x="155"/>
        <item x="57"/>
        <item x="161"/>
        <item x="128"/>
        <item x="40"/>
        <item x="24"/>
        <item x="65"/>
        <item x="191"/>
        <item x="103"/>
        <item x="177"/>
        <item x="49"/>
        <item x="26"/>
        <item x="149"/>
        <item x="122"/>
        <item x="181"/>
        <item x="185"/>
        <item x="27"/>
        <item x="133"/>
        <item x="41"/>
        <item x="62"/>
        <item x="182"/>
        <item x="56"/>
        <item x="168"/>
        <item x="92"/>
        <item x="143"/>
        <item x="72"/>
        <item x="35"/>
        <item x="87"/>
        <item x="120"/>
        <item x="109"/>
        <item x="91"/>
        <item x="9"/>
        <item x="150"/>
        <item x="179"/>
        <item x="125"/>
        <item x="97"/>
        <item x="147"/>
        <item x="188"/>
        <item x="88"/>
        <item x="0"/>
        <item x="31"/>
        <item x="131"/>
        <item x="148"/>
        <item x="13"/>
        <item x="167"/>
        <item x="17"/>
        <item x="100"/>
        <item x="53"/>
        <item x="7"/>
        <item x="108"/>
        <item x="95"/>
        <item x="74"/>
        <item x="106"/>
        <item x="156"/>
        <item x="61"/>
        <item x="10"/>
        <item x="39"/>
        <item x="36"/>
        <item x="33"/>
        <item x="66"/>
        <item x="12"/>
        <item x="69"/>
        <item x="84"/>
        <item x="47"/>
        <item x="151"/>
        <item x="117"/>
        <item x="85"/>
        <item x="71"/>
        <item x="144"/>
        <item x="43"/>
        <item x="80"/>
        <item x="20"/>
        <item x="81"/>
        <item x="60"/>
        <item x="25"/>
        <item x="138"/>
        <item x="180"/>
        <item x="157"/>
        <item x="190"/>
        <item x="159"/>
        <item x="83"/>
        <item x="50"/>
        <item x="139"/>
        <item x="130"/>
        <item x="119"/>
        <item x="173"/>
        <item x="192"/>
        <item x="158"/>
        <item x="114"/>
        <item x="126"/>
        <item x="5"/>
        <item x="68"/>
        <item x="77"/>
        <item x="90"/>
        <item x="183"/>
        <item x="37"/>
        <item x="11"/>
        <item x="32"/>
        <item x="129"/>
        <item x="141"/>
        <item x="170"/>
        <item x="30"/>
        <item x="54"/>
        <item x="165"/>
        <item x="48"/>
        <item x="28"/>
        <item x="137"/>
        <item x="194"/>
        <item x="18"/>
        <item x="94"/>
        <item x="124"/>
        <item x="121"/>
        <item x="132"/>
        <item x="140"/>
        <item x="193"/>
        <item x="21"/>
        <item x="16"/>
        <item x="67"/>
        <item x="76"/>
        <item x="46"/>
        <item x="82"/>
        <item x="55"/>
        <item x="166"/>
        <item x="70"/>
        <item x="175"/>
        <item x="178"/>
        <item x="115"/>
        <item x="102"/>
        <item x="6"/>
        <item x="186"/>
        <item x="113"/>
        <item x="45"/>
        <item x="146"/>
        <item x="164"/>
        <item x="23"/>
        <item x="4"/>
        <item x="160"/>
        <item x="38"/>
        <item x="59"/>
        <item x="163"/>
        <item x="134"/>
        <item t="default"/>
      </items>
    </pivotField>
    <pivotField axis="axisCol" compact="0" showAll="0">
      <items count="13">
        <item x="2"/>
        <item x="3"/>
        <item x="8"/>
        <item x="4"/>
        <item x="6"/>
        <item x="10"/>
        <item x="1"/>
        <item x="9"/>
        <item x="5"/>
        <item x="7"/>
        <item x="0"/>
        <item x="11"/>
        <item t="default"/>
      </items>
    </pivotField>
  </pivotFields>
  <rowFields count="2">
    <field x="5"/>
    <field x="4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2">
    <field x="14"/>
    <field x="-2"/>
  </colFields>
  <colItems count="2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 t="grand">
      <x/>
    </i>
    <i t="grand" i="1">
      <x/>
    </i>
  </colItems>
  <dataFields count="2">
    <dataField name="Sum of Revenue" fld="10" baseField="0" baseItem="0"/>
    <dataField name="Sum of UnitsSold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Line1" sourceName="ProductLine">
  <pivotTables>
    <pivotTable tabId="17" name="PivotTable2"/>
  </pivotTables>
  <data>
    <tabular pivotCacheId="1">
      <items count="4">
        <i x="3" s="1"/>
        <i x="0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2" sourceName="Region">
  <pivotTables>
    <pivotTable tabId="17" name="PivotTable2"/>
  </pivotTables>
  <data>
    <tabular pivotCacheId="1">
      <items count="4">
        <i x="3" s="1"/>
        <i x="0" s="1"/>
        <i x="1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Helper4" sourceName="Helper">
  <pivotTables>
    <pivotTable tabId="17" name="PivotTable3"/>
  </pivotTables>
  <data>
    <tabular pivotCacheId="2">
      <items count="12">
        <i x="2" s="1"/>
        <i x="3" s="1"/>
        <i x="8" s="1"/>
        <i x="4" s="1"/>
        <i x="6" s="1"/>
        <i x="10" s="1"/>
        <i x="1" s="1"/>
        <i x="9" s="1"/>
        <i x="5" s="1"/>
        <i x="7" s="1"/>
        <i x="0" s="1"/>
        <i x="1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Line6" sourceName="ProductLine">
  <pivotTables>
    <pivotTable tabId="17" name="PivotTable4"/>
  </pivotTables>
  <data>
    <tabular pivotCacheId="2">
      <items count="4">
        <i x="3" s="1"/>
        <i x="0" s="1"/>
        <i x="1" s="1"/>
        <i x="2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Line7" sourceName="ProductLine">
  <pivotTables>
    <pivotTable tabId="17" name="PivotTable5"/>
  </pivotTables>
  <data>
    <tabular pivotCacheId="2">
      <items count="4">
        <i x="3" s="1"/>
        <i x="0" s="1"/>
        <i x="1" s="1"/>
        <i x="2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8" sourceName="Region">
  <pivotTables>
    <pivotTable tabId="17" name="PivotTable5"/>
  </pivotTables>
  <data>
    <tabular pivotCacheId="2">
      <items count="4">
        <i x="3" s="1"/>
        <i x="0" s="1"/>
        <i x="1" s="1"/>
        <i x="2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Helper9" sourceName="Helper">
  <pivotTables>
    <pivotTable tabId="17" name="PivotTable5"/>
  </pivotTables>
  <data>
    <tabular pivotCacheId="2">
      <items count="12">
        <i x="2" s="1"/>
        <i x="3" s="1"/>
        <i x="8" s="1"/>
        <i x="4" s="1"/>
        <i x="6" s="1"/>
        <i x="10" s="1"/>
        <i x="1" s="1"/>
        <i x="9" s="1"/>
        <i x="5" s="1"/>
        <i x="7" s="1"/>
        <i x="0" s="1"/>
        <i x="11" s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Line" sourceName="ProductLine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Helper" sourceName="Helper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UnitsSold" sourceName="UnitsSold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  <slicer name="UnitsSold" cache="Slicer_UnitsSold" caption="UnitsSold" rowHeight="225425"/>
  <slicer name="Helper" cache="Slicer_Helper" caption="Helper" rowHeight="225425"/>
  <slicer name="ProductLine" cache="Slicer_ProductLine" caption="ProductLine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Line 1" cache="Slicer_ProductLine1" caption="ProductLine" rowHeight="225425"/>
  <slicer name="Region 2" cache="Slicer_Region2" caption="Region" rowHeight="225425"/>
  <slicer name="Helper 4" cache="Slicer_Helper4" caption="Helper" rowHeight="225425"/>
  <slicer name="ProductLine 6" cache="Slicer_ProductLine6" caption="ProductLine" rowHeight="225425"/>
  <slicer name="ProductLine 7" cache="Slicer_ProductLine7" caption="ProductLine" rowHeight="225425"/>
  <slicer name="Region 8" cache="Slicer_Region8" caption="Region" rowHeight="225425"/>
  <slicer name="Helper 9" cache="Slicer_Helper9" caption="Helper" rowHeight="225425"/>
</slicers>
</file>

<file path=xl/tables/table1.xml><?xml version="1.0" encoding="utf-8"?>
<table xmlns="http://schemas.openxmlformats.org/spreadsheetml/2006/main" id="4" name="Table4" displayName="Table4" ref="A75:B80" totalsRowCount="1">
  <autoFilter xmlns:etc="http://www.wps.cn/officeDocument/2017/etCustomData" ref="A75:B79" etc:filterBottomFollowUsedRange="0"/>
  <tableColumns count="2">
    <tableColumn id="1" name="Product line" totalsRowLabel="Total"/>
    <tableColumn id="2" name="Total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1" name="Table1" displayName="Table1" ref="A1:G204" totalsRowShown="0">
  <autoFilter xmlns:etc="http://www.wps.cn/officeDocument/2017/etCustomData" ref="A1:G204" etc:filterBottomFollowUsedRange="0"/>
  <tableColumns count="7">
    <tableColumn id="1" name="Region" dataDxfId="0"/>
    <tableColumn id="6" name="ProductLine"/>
    <tableColumn id="7" name="COGS"/>
    <tableColumn id="2" name="Revenue" dataDxfId="1"/>
    <tableColumn id="3" name="Gross_profit"/>
    <tableColumn id="4" name="UnitsSold"/>
    <tableColumn id="5" name="Helper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6" Type="http://schemas.microsoft.com/office/2007/relationships/slicer" Target="../slicers/slicer2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1"/>
  <sheetViews>
    <sheetView zoomScaleSheetLayoutView="60" workbookViewId="0">
      <selection activeCell="B1" sqref="B1"/>
    </sheetView>
  </sheetViews>
  <sheetFormatPr defaultColWidth="8.4375" defaultRowHeight="16.8"/>
  <cols>
    <col min="1" max="1" width="13.80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9">
        <v>45619</v>
      </c>
      <c r="B2">
        <v>1001</v>
      </c>
      <c r="C2" t="s">
        <v>9</v>
      </c>
      <c r="D2" t="s">
        <v>10</v>
      </c>
      <c r="E2" t="s">
        <v>11</v>
      </c>
      <c r="F2">
        <v>1</v>
      </c>
      <c r="G2">
        <v>15.22</v>
      </c>
      <c r="H2">
        <v>8.03</v>
      </c>
      <c r="I2">
        <v>5.31</v>
      </c>
    </row>
    <row r="3" spans="1:9">
      <c r="A3" s="29">
        <v>45624</v>
      </c>
      <c r="B3">
        <v>1002</v>
      </c>
      <c r="C3" t="s">
        <v>12</v>
      </c>
      <c r="D3" t="s">
        <v>13</v>
      </c>
      <c r="E3" t="s">
        <v>14</v>
      </c>
      <c r="F3">
        <v>10</v>
      </c>
      <c r="G3">
        <v>42.01</v>
      </c>
      <c r="H3">
        <v>27.04</v>
      </c>
      <c r="I3">
        <v>20.44</v>
      </c>
    </row>
    <row r="4" spans="1:9">
      <c r="A4" s="29">
        <v>45475</v>
      </c>
      <c r="B4">
        <v>1003</v>
      </c>
      <c r="C4" t="s">
        <v>15</v>
      </c>
      <c r="D4" t="s">
        <v>16</v>
      </c>
      <c r="E4" t="s">
        <v>17</v>
      </c>
      <c r="F4">
        <v>9</v>
      </c>
      <c r="G4">
        <v>101.58</v>
      </c>
      <c r="H4">
        <v>69.86</v>
      </c>
      <c r="I4">
        <v>115.47</v>
      </c>
    </row>
    <row r="5" spans="1:9">
      <c r="A5" s="29">
        <v>45315</v>
      </c>
      <c r="B5">
        <v>1004</v>
      </c>
      <c r="C5" t="s">
        <v>18</v>
      </c>
      <c r="D5" t="s">
        <v>10</v>
      </c>
      <c r="E5" t="s">
        <v>17</v>
      </c>
      <c r="F5">
        <v>11</v>
      </c>
      <c r="G5">
        <v>29.57</v>
      </c>
      <c r="H5">
        <v>17.79</v>
      </c>
      <c r="I5">
        <v>140.36</v>
      </c>
    </row>
    <row r="6" spans="1:9">
      <c r="A6" s="29">
        <v>45328</v>
      </c>
      <c r="B6">
        <v>1005</v>
      </c>
      <c r="C6" t="s">
        <v>19</v>
      </c>
      <c r="D6" t="s">
        <v>10</v>
      </c>
      <c r="E6" t="s">
        <v>14</v>
      </c>
      <c r="F6">
        <v>24</v>
      </c>
      <c r="G6">
        <v>95.81</v>
      </c>
      <c r="H6">
        <v>30.13</v>
      </c>
      <c r="I6">
        <v>63.09</v>
      </c>
    </row>
    <row r="7" spans="1:9">
      <c r="A7" s="29">
        <v>45400</v>
      </c>
      <c r="B7">
        <v>1006</v>
      </c>
      <c r="C7" t="s">
        <v>20</v>
      </c>
      <c r="D7" t="s">
        <v>21</v>
      </c>
      <c r="E7" t="s">
        <v>17</v>
      </c>
      <c r="F7">
        <v>4</v>
      </c>
      <c r="G7">
        <v>38.64</v>
      </c>
      <c r="H7">
        <v>16.16</v>
      </c>
      <c r="I7">
        <v>116.92</v>
      </c>
    </row>
    <row r="8" spans="1:9">
      <c r="A8" s="29">
        <v>45496</v>
      </c>
      <c r="B8">
        <v>1007</v>
      </c>
      <c r="C8" t="s">
        <v>22</v>
      </c>
      <c r="D8" t="s">
        <v>23</v>
      </c>
      <c r="E8" t="s">
        <v>11</v>
      </c>
      <c r="F8">
        <v>5</v>
      </c>
      <c r="G8">
        <v>97.54</v>
      </c>
      <c r="H8">
        <v>32.05</v>
      </c>
      <c r="I8">
        <v>76.32</v>
      </c>
    </row>
    <row r="9" spans="1:9">
      <c r="A9" s="29">
        <v>45562</v>
      </c>
      <c r="B9">
        <v>1008</v>
      </c>
      <c r="C9" t="s">
        <v>24</v>
      </c>
      <c r="D9" t="s">
        <v>16</v>
      </c>
      <c r="E9" t="s">
        <v>25</v>
      </c>
      <c r="F9">
        <v>10</v>
      </c>
      <c r="G9">
        <v>24.05</v>
      </c>
      <c r="H9">
        <v>12.13</v>
      </c>
      <c r="I9">
        <v>190.76</v>
      </c>
    </row>
    <row r="10" spans="1:9">
      <c r="A10" s="29">
        <v>45426</v>
      </c>
      <c r="B10">
        <v>1009</v>
      </c>
      <c r="C10" t="s">
        <v>26</v>
      </c>
      <c r="D10" t="s">
        <v>16</v>
      </c>
      <c r="E10" t="s">
        <v>14</v>
      </c>
      <c r="F10">
        <v>24</v>
      </c>
      <c r="G10">
        <v>29.45</v>
      </c>
      <c r="H10">
        <v>21.06</v>
      </c>
      <c r="I10">
        <v>183.7</v>
      </c>
    </row>
    <row r="11" spans="1:9">
      <c r="A11" s="29">
        <v>45542</v>
      </c>
      <c r="B11">
        <v>1010</v>
      </c>
      <c r="C11" t="s">
        <v>27</v>
      </c>
      <c r="D11" t="s">
        <v>21</v>
      </c>
      <c r="E11" t="s">
        <v>11</v>
      </c>
      <c r="F11">
        <v>15</v>
      </c>
      <c r="G11">
        <v>100.13</v>
      </c>
      <c r="H11">
        <v>54.04</v>
      </c>
      <c r="I11">
        <v>25.15</v>
      </c>
    </row>
    <row r="12" spans="1:9">
      <c r="A12" s="29">
        <v>45573</v>
      </c>
      <c r="B12">
        <v>1011</v>
      </c>
      <c r="C12" t="s">
        <v>28</v>
      </c>
      <c r="D12" t="s">
        <v>23</v>
      </c>
      <c r="E12" t="s">
        <v>14</v>
      </c>
      <c r="F12">
        <v>12</v>
      </c>
      <c r="G12">
        <v>119.48</v>
      </c>
      <c r="H12">
        <v>59.4</v>
      </c>
      <c r="I12">
        <v>103.52</v>
      </c>
    </row>
    <row r="13" spans="1:9">
      <c r="A13" s="29">
        <v>45407</v>
      </c>
      <c r="B13">
        <v>1012</v>
      </c>
      <c r="C13" t="s">
        <v>29</v>
      </c>
      <c r="D13" t="s">
        <v>30</v>
      </c>
      <c r="E13" t="s">
        <v>11</v>
      </c>
      <c r="F13">
        <v>1</v>
      </c>
      <c r="G13">
        <v>104.84</v>
      </c>
      <c r="H13">
        <v>42.68</v>
      </c>
      <c r="I13">
        <v>133.8</v>
      </c>
    </row>
    <row r="14" spans="1:9">
      <c r="A14" s="29">
        <v>45359</v>
      </c>
      <c r="B14">
        <v>1013</v>
      </c>
      <c r="C14" t="s">
        <v>31</v>
      </c>
      <c r="D14" t="s">
        <v>23</v>
      </c>
      <c r="E14" t="s">
        <v>17</v>
      </c>
      <c r="F14">
        <v>3</v>
      </c>
      <c r="G14">
        <v>83.17</v>
      </c>
      <c r="H14">
        <v>40.34</v>
      </c>
      <c r="I14">
        <v>172.77</v>
      </c>
    </row>
    <row r="15" spans="1:9">
      <c r="A15" s="29">
        <v>45626</v>
      </c>
      <c r="B15">
        <v>1014</v>
      </c>
      <c r="C15" t="s">
        <v>32</v>
      </c>
      <c r="D15" t="s">
        <v>21</v>
      </c>
      <c r="E15" t="s">
        <v>14</v>
      </c>
      <c r="F15">
        <v>14</v>
      </c>
      <c r="G15">
        <v>27.14</v>
      </c>
      <c r="H15">
        <v>13.79</v>
      </c>
      <c r="I15">
        <v>174.9</v>
      </c>
    </row>
    <row r="16" spans="1:1">
      <c r="A16" s="29">
        <v>45491</v>
      </c>
    </row>
    <row r="17" spans="1:9">
      <c r="A17" s="29">
        <v>45317</v>
      </c>
      <c r="B17">
        <v>1015</v>
      </c>
      <c r="C17" t="s">
        <v>29</v>
      </c>
      <c r="D17" t="s">
        <v>16</v>
      </c>
      <c r="E17" t="s">
        <v>14</v>
      </c>
      <c r="F17">
        <v>15</v>
      </c>
      <c r="G17">
        <v>63.99</v>
      </c>
      <c r="H17">
        <v>45.18</v>
      </c>
      <c r="I17">
        <v>32.93</v>
      </c>
    </row>
    <row r="18" spans="1:9">
      <c r="A18" s="29">
        <v>45596</v>
      </c>
      <c r="B18">
        <v>1016</v>
      </c>
      <c r="C18" t="s">
        <v>12</v>
      </c>
      <c r="D18" t="s">
        <v>21</v>
      </c>
      <c r="E18" t="s">
        <v>17</v>
      </c>
      <c r="F18">
        <v>9</v>
      </c>
      <c r="G18">
        <v>35.51</v>
      </c>
      <c r="H18">
        <v>22.41</v>
      </c>
      <c r="I18">
        <v>12.19</v>
      </c>
    </row>
    <row r="19" spans="1:9">
      <c r="A19" s="29">
        <v>45296</v>
      </c>
      <c r="B19">
        <v>1017</v>
      </c>
      <c r="C19" t="s">
        <v>33</v>
      </c>
      <c r="D19" t="s">
        <v>10</v>
      </c>
      <c r="E19" t="s">
        <v>14</v>
      </c>
      <c r="F19">
        <v>2</v>
      </c>
      <c r="G19">
        <v>84.92</v>
      </c>
      <c r="H19">
        <v>30.06</v>
      </c>
      <c r="I19">
        <v>178.06</v>
      </c>
    </row>
    <row r="20" spans="1:9">
      <c r="A20" s="29">
        <v>45605</v>
      </c>
      <c r="B20">
        <v>1018</v>
      </c>
      <c r="C20" t="s">
        <v>34</v>
      </c>
      <c r="D20" t="s">
        <v>21</v>
      </c>
      <c r="E20" t="s">
        <v>25</v>
      </c>
      <c r="F20">
        <v>12</v>
      </c>
      <c r="G20">
        <v>26.13</v>
      </c>
      <c r="H20">
        <v>13.22</v>
      </c>
      <c r="I20">
        <v>185.8</v>
      </c>
    </row>
    <row r="21" spans="1:9">
      <c r="A21" s="29">
        <v>45399</v>
      </c>
      <c r="B21">
        <v>1019</v>
      </c>
      <c r="C21" t="s">
        <v>35</v>
      </c>
      <c r="D21" t="s">
        <v>16</v>
      </c>
      <c r="E21" t="s">
        <v>14</v>
      </c>
      <c r="F21">
        <v>2</v>
      </c>
      <c r="G21">
        <v>106.96</v>
      </c>
      <c r="H21">
        <v>39.68</v>
      </c>
      <c r="I21">
        <v>166.75</v>
      </c>
    </row>
    <row r="22" spans="1:9">
      <c r="A22" s="29">
        <v>45374</v>
      </c>
      <c r="B22">
        <v>1020</v>
      </c>
      <c r="C22" t="s">
        <v>26</v>
      </c>
      <c r="D22" t="s">
        <v>16</v>
      </c>
      <c r="E22" t="s">
        <v>11</v>
      </c>
      <c r="F22">
        <v>4</v>
      </c>
      <c r="G22">
        <v>40.56</v>
      </c>
      <c r="H22">
        <v>25.72</v>
      </c>
      <c r="I22">
        <v>31.09</v>
      </c>
    </row>
    <row r="23" spans="1:9">
      <c r="A23" s="29">
        <v>45312</v>
      </c>
      <c r="B23">
        <v>1021</v>
      </c>
      <c r="C23" t="s">
        <v>36</v>
      </c>
      <c r="D23" t="s">
        <v>21</v>
      </c>
      <c r="E23" t="s">
        <v>11</v>
      </c>
      <c r="F23">
        <v>13</v>
      </c>
      <c r="G23">
        <v>101.57</v>
      </c>
      <c r="H23">
        <v>45.72</v>
      </c>
      <c r="I23">
        <v>26.16</v>
      </c>
    </row>
    <row r="24" spans="1:9">
      <c r="A24" s="29">
        <v>45503</v>
      </c>
      <c r="B24">
        <v>1022</v>
      </c>
      <c r="C24" t="s">
        <v>37</v>
      </c>
      <c r="D24" t="s">
        <v>16</v>
      </c>
      <c r="E24" t="s">
        <v>14</v>
      </c>
      <c r="F24">
        <v>11</v>
      </c>
      <c r="G24">
        <v>74.91</v>
      </c>
      <c r="H24">
        <v>26.77</v>
      </c>
      <c r="I24">
        <v>61.65</v>
      </c>
    </row>
    <row r="25" spans="1:9">
      <c r="A25" s="29">
        <v>45527</v>
      </c>
      <c r="B25">
        <v>1023</v>
      </c>
      <c r="C25" t="s">
        <v>9</v>
      </c>
      <c r="D25" t="s">
        <v>16</v>
      </c>
      <c r="E25" t="s">
        <v>17</v>
      </c>
      <c r="F25">
        <v>23</v>
      </c>
      <c r="G25">
        <v>28.69</v>
      </c>
      <c r="H25">
        <v>19.77</v>
      </c>
      <c r="I25">
        <v>195.24</v>
      </c>
    </row>
    <row r="26" spans="1:9">
      <c r="A26" s="29">
        <v>45566</v>
      </c>
      <c r="B26">
        <v>1024</v>
      </c>
      <c r="C26" t="s">
        <v>38</v>
      </c>
      <c r="D26" t="s">
        <v>23</v>
      </c>
      <c r="E26" t="s">
        <v>14</v>
      </c>
      <c r="F26">
        <v>25</v>
      </c>
      <c r="G26">
        <v>87.74</v>
      </c>
      <c r="H26">
        <v>27.85</v>
      </c>
      <c r="I26">
        <v>94.14</v>
      </c>
    </row>
    <row r="27" spans="1:9">
      <c r="A27" s="29">
        <v>45489</v>
      </c>
      <c r="B27">
        <v>1025</v>
      </c>
      <c r="C27" t="s">
        <v>33</v>
      </c>
      <c r="D27" t="s">
        <v>10</v>
      </c>
      <c r="E27" t="s">
        <v>17</v>
      </c>
      <c r="F27">
        <v>2</v>
      </c>
      <c r="G27">
        <v>116.42</v>
      </c>
      <c r="H27">
        <v>68.53</v>
      </c>
      <c r="I27">
        <v>79.94</v>
      </c>
    </row>
    <row r="28" spans="1:9">
      <c r="A28" s="29">
        <v>45445</v>
      </c>
      <c r="B28">
        <v>1026</v>
      </c>
      <c r="C28" t="s">
        <v>27</v>
      </c>
      <c r="D28" t="s">
        <v>21</v>
      </c>
      <c r="E28" t="s">
        <v>25</v>
      </c>
      <c r="F28">
        <v>19</v>
      </c>
      <c r="G28">
        <v>58.93</v>
      </c>
      <c r="H28">
        <v>26</v>
      </c>
      <c r="I28">
        <v>121.24</v>
      </c>
    </row>
    <row r="29" spans="1:9">
      <c r="A29" s="29">
        <v>45292</v>
      </c>
      <c r="B29">
        <v>1027</v>
      </c>
      <c r="C29" t="s">
        <v>39</v>
      </c>
      <c r="D29" t="s">
        <v>40</v>
      </c>
      <c r="E29" t="s">
        <v>14</v>
      </c>
      <c r="F29">
        <v>2</v>
      </c>
      <c r="G29">
        <v>114.48</v>
      </c>
      <c r="H29">
        <v>66.45</v>
      </c>
      <c r="I29">
        <v>132.68</v>
      </c>
    </row>
    <row r="30" spans="1:9">
      <c r="A30" s="29">
        <v>45616</v>
      </c>
      <c r="B30">
        <v>1028</v>
      </c>
      <c r="C30" t="s">
        <v>38</v>
      </c>
      <c r="D30" t="s">
        <v>23</v>
      </c>
      <c r="E30" t="s">
        <v>14</v>
      </c>
      <c r="F30">
        <v>12</v>
      </c>
      <c r="G30">
        <v>85.15</v>
      </c>
      <c r="H30">
        <v>49.13</v>
      </c>
      <c r="I30">
        <v>60.19</v>
      </c>
    </row>
    <row r="31" spans="1:9">
      <c r="A31" s="29">
        <v>45614</v>
      </c>
      <c r="B31">
        <v>1029</v>
      </c>
      <c r="C31" t="s">
        <v>15</v>
      </c>
      <c r="D31" t="s">
        <v>21</v>
      </c>
      <c r="E31" t="s">
        <v>14</v>
      </c>
      <c r="F31">
        <v>25</v>
      </c>
      <c r="G31">
        <v>109.33</v>
      </c>
      <c r="H31">
        <v>41.15</v>
      </c>
      <c r="I31">
        <v>16.96</v>
      </c>
    </row>
    <row r="32" spans="1:9">
      <c r="A32" s="29">
        <v>45529</v>
      </c>
      <c r="B32">
        <v>1030</v>
      </c>
      <c r="C32" t="s">
        <v>41</v>
      </c>
      <c r="D32" t="s">
        <v>10</v>
      </c>
      <c r="E32" t="s">
        <v>14</v>
      </c>
      <c r="F32">
        <v>1</v>
      </c>
      <c r="G32">
        <v>38.44</v>
      </c>
      <c r="H32">
        <v>26.23</v>
      </c>
      <c r="I32">
        <v>14.57</v>
      </c>
    </row>
    <row r="33" spans="1:9">
      <c r="A33" s="29">
        <v>45373</v>
      </c>
      <c r="B33">
        <v>1031</v>
      </c>
      <c r="C33" t="s">
        <v>32</v>
      </c>
      <c r="D33" t="s">
        <v>23</v>
      </c>
      <c r="E33" t="s">
        <v>11</v>
      </c>
      <c r="F33">
        <v>24</v>
      </c>
      <c r="G33">
        <v>107.63</v>
      </c>
      <c r="H33">
        <v>42.89</v>
      </c>
      <c r="I33">
        <v>160.82</v>
      </c>
    </row>
    <row r="34" spans="1:9">
      <c r="A34" s="29">
        <v>45333</v>
      </c>
      <c r="B34">
        <v>1032</v>
      </c>
      <c r="C34" t="s">
        <v>33</v>
      </c>
      <c r="D34" t="s">
        <v>16</v>
      </c>
      <c r="E34" t="s">
        <v>25</v>
      </c>
      <c r="F34">
        <v>14</v>
      </c>
      <c r="G34">
        <v>78.17</v>
      </c>
      <c r="H34">
        <v>41.21</v>
      </c>
      <c r="I34">
        <v>166.11</v>
      </c>
    </row>
    <row r="35" spans="1:9">
      <c r="A35" s="29">
        <v>45302</v>
      </c>
      <c r="B35">
        <v>1033</v>
      </c>
      <c r="C35" t="s">
        <v>42</v>
      </c>
      <c r="D35" t="s">
        <v>10</v>
      </c>
      <c r="E35" t="s">
        <v>17</v>
      </c>
      <c r="F35">
        <v>8</v>
      </c>
      <c r="G35">
        <v>59.51</v>
      </c>
      <c r="H35">
        <v>24.13</v>
      </c>
      <c r="I35">
        <v>67.17</v>
      </c>
    </row>
    <row r="36" spans="1:9">
      <c r="A36" s="29">
        <v>45431</v>
      </c>
      <c r="B36">
        <v>1034</v>
      </c>
      <c r="C36" t="s">
        <v>20</v>
      </c>
      <c r="D36" t="s">
        <v>10</v>
      </c>
      <c r="E36" t="s">
        <v>17</v>
      </c>
      <c r="F36">
        <v>14</v>
      </c>
      <c r="G36">
        <v>56.9</v>
      </c>
      <c r="H36">
        <v>27.83</v>
      </c>
      <c r="I36">
        <v>180.97</v>
      </c>
    </row>
    <row r="37" spans="1:9">
      <c r="A37" s="29">
        <v>45361</v>
      </c>
      <c r="B37">
        <v>1035</v>
      </c>
      <c r="C37" t="s">
        <v>32</v>
      </c>
      <c r="D37" t="s">
        <v>40</v>
      </c>
      <c r="E37" t="s">
        <v>17</v>
      </c>
      <c r="F37">
        <v>13</v>
      </c>
      <c r="G37">
        <v>70.13</v>
      </c>
      <c r="H37">
        <v>46.28</v>
      </c>
      <c r="I37">
        <v>179.56</v>
      </c>
    </row>
    <row r="38" spans="1:9">
      <c r="A38" s="29">
        <v>45568</v>
      </c>
      <c r="B38">
        <v>1036</v>
      </c>
      <c r="C38" t="s">
        <v>38</v>
      </c>
      <c r="D38" t="s">
        <v>23</v>
      </c>
      <c r="E38" t="s">
        <v>14</v>
      </c>
      <c r="F38">
        <v>17</v>
      </c>
      <c r="G38">
        <v>14.91</v>
      </c>
      <c r="H38">
        <v>8.26</v>
      </c>
      <c r="I38">
        <v>5.42</v>
      </c>
    </row>
    <row r="39" spans="1:9">
      <c r="A39" s="29">
        <v>45403</v>
      </c>
      <c r="B39">
        <v>1037</v>
      </c>
      <c r="C39" t="s">
        <v>42</v>
      </c>
      <c r="D39" t="s">
        <v>23</v>
      </c>
      <c r="E39" t="s">
        <v>25</v>
      </c>
      <c r="F39">
        <v>12</v>
      </c>
      <c r="G39">
        <v>42.05</v>
      </c>
      <c r="H39">
        <v>20.59</v>
      </c>
      <c r="I39">
        <v>166.98</v>
      </c>
    </row>
    <row r="40" spans="1:9">
      <c r="A40" s="29">
        <v>45484</v>
      </c>
      <c r="B40">
        <v>1038</v>
      </c>
      <c r="C40" t="s">
        <v>9</v>
      </c>
      <c r="D40" t="s">
        <v>16</v>
      </c>
      <c r="E40" t="s">
        <v>11</v>
      </c>
      <c r="F40">
        <v>6</v>
      </c>
      <c r="G40">
        <v>102.64</v>
      </c>
      <c r="H40">
        <v>41.81</v>
      </c>
      <c r="I40">
        <v>94.71</v>
      </c>
    </row>
    <row r="41" spans="1:9">
      <c r="A41" s="29">
        <v>45466</v>
      </c>
      <c r="B41">
        <v>1039</v>
      </c>
      <c r="C41" t="s">
        <v>43</v>
      </c>
      <c r="D41" t="s">
        <v>10</v>
      </c>
      <c r="E41" t="s">
        <v>11</v>
      </c>
      <c r="F41">
        <v>5</v>
      </c>
      <c r="G41">
        <v>116.19</v>
      </c>
      <c r="H41">
        <v>36.2</v>
      </c>
      <c r="I41">
        <v>62.39</v>
      </c>
    </row>
    <row r="42" spans="1:9">
      <c r="A42" s="29">
        <v>45539</v>
      </c>
      <c r="B42">
        <v>1040</v>
      </c>
      <c r="C42" t="s">
        <v>18</v>
      </c>
      <c r="D42" t="s">
        <v>10</v>
      </c>
      <c r="E42" t="s">
        <v>11</v>
      </c>
      <c r="F42">
        <v>18</v>
      </c>
      <c r="G42">
        <v>96.52</v>
      </c>
      <c r="H42">
        <v>47.56</v>
      </c>
      <c r="I42">
        <v>74.11</v>
      </c>
    </row>
    <row r="43" spans="1:9">
      <c r="A43" s="29">
        <v>45458</v>
      </c>
      <c r="B43">
        <v>1041</v>
      </c>
      <c r="C43" t="s">
        <v>44</v>
      </c>
      <c r="D43" t="s">
        <v>16</v>
      </c>
      <c r="E43" t="s">
        <v>17</v>
      </c>
      <c r="F43">
        <v>13</v>
      </c>
      <c r="G43">
        <v>31.02</v>
      </c>
      <c r="H43">
        <v>18.39</v>
      </c>
      <c r="I43">
        <v>123.18</v>
      </c>
    </row>
    <row r="44" spans="1:9">
      <c r="A44" s="29">
        <v>45535</v>
      </c>
      <c r="B44">
        <v>1042</v>
      </c>
      <c r="C44" t="s">
        <v>31</v>
      </c>
      <c r="D44" t="s">
        <v>21</v>
      </c>
      <c r="E44" t="s">
        <v>11</v>
      </c>
      <c r="F44">
        <v>14</v>
      </c>
      <c r="G44">
        <v>38.34</v>
      </c>
      <c r="H44">
        <v>22.03</v>
      </c>
      <c r="I44">
        <v>75.8</v>
      </c>
    </row>
    <row r="45" spans="1:9">
      <c r="A45" s="29">
        <v>45472</v>
      </c>
      <c r="B45">
        <v>1043</v>
      </c>
      <c r="C45" t="s">
        <v>15</v>
      </c>
      <c r="D45" t="s">
        <v>21</v>
      </c>
      <c r="E45" t="s">
        <v>25</v>
      </c>
      <c r="F45">
        <v>16</v>
      </c>
      <c r="G45">
        <v>114.39</v>
      </c>
      <c r="H45">
        <v>71.38</v>
      </c>
      <c r="I45">
        <v>97.72</v>
      </c>
    </row>
    <row r="46" spans="1:9">
      <c r="A46" s="29">
        <v>45560</v>
      </c>
      <c r="B46">
        <v>1044</v>
      </c>
      <c r="C46" t="s">
        <v>15</v>
      </c>
      <c r="D46" t="s">
        <v>16</v>
      </c>
      <c r="E46" t="s">
        <v>14</v>
      </c>
      <c r="F46">
        <v>18</v>
      </c>
      <c r="G46">
        <v>51.85</v>
      </c>
      <c r="H46">
        <v>23.58</v>
      </c>
      <c r="I46">
        <v>199.33</v>
      </c>
    </row>
    <row r="47" spans="1:9">
      <c r="A47" s="29">
        <v>45618</v>
      </c>
      <c r="B47">
        <v>1045</v>
      </c>
      <c r="C47" t="s">
        <v>42</v>
      </c>
      <c r="D47" t="s">
        <v>10</v>
      </c>
      <c r="E47" t="s">
        <v>11</v>
      </c>
      <c r="F47">
        <v>24</v>
      </c>
      <c r="G47">
        <v>86.54</v>
      </c>
      <c r="H47">
        <v>54.73</v>
      </c>
      <c r="I47">
        <v>55.3</v>
      </c>
    </row>
    <row r="48" spans="1:9">
      <c r="A48" s="29">
        <v>45587</v>
      </c>
      <c r="B48">
        <v>1046</v>
      </c>
      <c r="C48" t="s">
        <v>45</v>
      </c>
      <c r="D48" t="s">
        <v>10</v>
      </c>
      <c r="E48" t="s">
        <v>46</v>
      </c>
      <c r="F48">
        <v>17</v>
      </c>
      <c r="G48">
        <v>25.67</v>
      </c>
      <c r="H48">
        <v>8.33</v>
      </c>
      <c r="I48">
        <v>58.43</v>
      </c>
    </row>
    <row r="49" spans="1:9">
      <c r="A49" s="29">
        <v>45593</v>
      </c>
      <c r="B49">
        <v>1047</v>
      </c>
      <c r="C49" t="s">
        <v>33</v>
      </c>
      <c r="D49" t="s">
        <v>16</v>
      </c>
      <c r="E49" t="s">
        <v>17</v>
      </c>
      <c r="F49">
        <v>1</v>
      </c>
      <c r="G49">
        <v>39.27</v>
      </c>
      <c r="H49">
        <v>13.8</v>
      </c>
      <c r="I49">
        <v>13.07</v>
      </c>
    </row>
    <row r="50" spans="1:9">
      <c r="A50" s="29">
        <v>45522</v>
      </c>
      <c r="B50">
        <v>1048</v>
      </c>
      <c r="C50" t="s">
        <v>22</v>
      </c>
      <c r="D50" t="s">
        <v>21</v>
      </c>
      <c r="E50" t="s">
        <v>17</v>
      </c>
      <c r="F50">
        <v>25</v>
      </c>
      <c r="G50">
        <v>78.79</v>
      </c>
      <c r="H50">
        <v>37.12</v>
      </c>
      <c r="I50">
        <v>181.7</v>
      </c>
    </row>
    <row r="51" spans="1:1">
      <c r="A51" s="29">
        <v>45509</v>
      </c>
    </row>
    <row r="52" spans="1:9">
      <c r="A52" s="29">
        <v>45498</v>
      </c>
      <c r="B52">
        <v>1049</v>
      </c>
      <c r="C52" t="s">
        <v>28</v>
      </c>
      <c r="D52" t="s">
        <v>16</v>
      </c>
      <c r="E52" t="s">
        <v>14</v>
      </c>
      <c r="F52">
        <v>8</v>
      </c>
      <c r="G52">
        <v>83.33</v>
      </c>
      <c r="H52">
        <v>31.52</v>
      </c>
      <c r="I52">
        <v>15.01</v>
      </c>
    </row>
    <row r="53" spans="1:9">
      <c r="A53" s="29">
        <v>45501</v>
      </c>
      <c r="B53">
        <v>1050</v>
      </c>
      <c r="C53" t="s">
        <v>39</v>
      </c>
      <c r="D53" t="s">
        <v>10</v>
      </c>
      <c r="E53" t="s">
        <v>17</v>
      </c>
      <c r="F53">
        <v>7</v>
      </c>
      <c r="G53">
        <v>111.78</v>
      </c>
      <c r="H53">
        <v>64.98</v>
      </c>
      <c r="I53">
        <v>132.24</v>
      </c>
    </row>
    <row r="54" spans="1:9">
      <c r="A54" s="29">
        <v>45516</v>
      </c>
      <c r="B54">
        <v>1051</v>
      </c>
      <c r="C54" t="s">
        <v>22</v>
      </c>
      <c r="D54" t="s">
        <v>21</v>
      </c>
      <c r="E54" t="s">
        <v>14</v>
      </c>
      <c r="F54">
        <v>19</v>
      </c>
      <c r="G54">
        <v>92.89</v>
      </c>
      <c r="H54">
        <v>39.93</v>
      </c>
      <c r="I54">
        <v>24.87</v>
      </c>
    </row>
    <row r="55" spans="1:9">
      <c r="A55" s="29">
        <v>45370</v>
      </c>
      <c r="B55">
        <v>1052</v>
      </c>
      <c r="C55" t="s">
        <v>44</v>
      </c>
      <c r="D55" t="s">
        <v>23</v>
      </c>
      <c r="E55" t="s">
        <v>17</v>
      </c>
      <c r="F55">
        <v>19</v>
      </c>
      <c r="G55">
        <v>39.04</v>
      </c>
      <c r="H55">
        <v>28.61</v>
      </c>
      <c r="I55">
        <v>167.19</v>
      </c>
    </row>
    <row r="56" spans="1:9">
      <c r="A56" s="29">
        <v>45327</v>
      </c>
      <c r="B56">
        <v>1053</v>
      </c>
      <c r="C56" t="s">
        <v>42</v>
      </c>
      <c r="D56" t="s">
        <v>16</v>
      </c>
      <c r="E56" t="s">
        <v>17</v>
      </c>
      <c r="F56">
        <v>5</v>
      </c>
      <c r="G56">
        <v>119.67</v>
      </c>
      <c r="H56">
        <v>79.75</v>
      </c>
      <c r="I56">
        <v>193.81</v>
      </c>
    </row>
    <row r="57" spans="1:9">
      <c r="A57" s="29">
        <v>45487</v>
      </c>
      <c r="B57">
        <v>1054</v>
      </c>
      <c r="C57" t="s">
        <v>33</v>
      </c>
      <c r="D57" t="s">
        <v>10</v>
      </c>
      <c r="E57" t="s">
        <v>25</v>
      </c>
      <c r="F57">
        <v>12</v>
      </c>
      <c r="G57">
        <v>99.87</v>
      </c>
      <c r="H57">
        <v>50.4</v>
      </c>
      <c r="I57">
        <v>62.9</v>
      </c>
    </row>
    <row r="58" spans="1:9">
      <c r="A58" s="29">
        <v>45371</v>
      </c>
      <c r="B58">
        <v>1055</v>
      </c>
      <c r="C58" t="s">
        <v>24</v>
      </c>
      <c r="D58" t="s">
        <v>23</v>
      </c>
      <c r="E58" t="s">
        <v>25</v>
      </c>
      <c r="F58">
        <v>15</v>
      </c>
      <c r="G58">
        <v>79.54</v>
      </c>
      <c r="H58">
        <v>31.15</v>
      </c>
      <c r="I58">
        <v>109.84</v>
      </c>
    </row>
    <row r="59" spans="1:9">
      <c r="A59" s="29">
        <v>45569</v>
      </c>
      <c r="B59">
        <v>1056</v>
      </c>
      <c r="C59" t="s">
        <v>24</v>
      </c>
      <c r="D59" t="s">
        <v>10</v>
      </c>
      <c r="E59" t="s">
        <v>11</v>
      </c>
      <c r="F59">
        <v>2</v>
      </c>
      <c r="G59">
        <v>36.27</v>
      </c>
      <c r="H59">
        <v>12.73</v>
      </c>
      <c r="I59">
        <v>189.41</v>
      </c>
    </row>
    <row r="60" spans="1:9">
      <c r="A60" s="29">
        <v>45546</v>
      </c>
      <c r="B60">
        <v>1057</v>
      </c>
      <c r="C60" t="s">
        <v>26</v>
      </c>
      <c r="D60" t="s">
        <v>21</v>
      </c>
      <c r="E60" t="s">
        <v>17</v>
      </c>
      <c r="F60">
        <v>17</v>
      </c>
      <c r="G60">
        <v>27.62</v>
      </c>
      <c r="H60">
        <v>15.74</v>
      </c>
      <c r="I60">
        <v>149.26</v>
      </c>
    </row>
    <row r="61" spans="1:9">
      <c r="A61" s="29">
        <v>45494</v>
      </c>
      <c r="B61">
        <v>1058</v>
      </c>
      <c r="C61" t="s">
        <v>37</v>
      </c>
      <c r="D61" t="s">
        <v>21</v>
      </c>
      <c r="E61" t="s">
        <v>11</v>
      </c>
      <c r="F61">
        <v>9</v>
      </c>
      <c r="G61">
        <v>102.45</v>
      </c>
      <c r="H61">
        <v>61.16</v>
      </c>
      <c r="I61">
        <v>173.05</v>
      </c>
    </row>
    <row r="62" spans="1:9">
      <c r="A62" s="29">
        <v>45629</v>
      </c>
      <c r="B62">
        <v>1059</v>
      </c>
      <c r="C62" t="s">
        <v>29</v>
      </c>
      <c r="D62" t="s">
        <v>23</v>
      </c>
      <c r="E62" t="s">
        <v>14</v>
      </c>
      <c r="F62">
        <v>7</v>
      </c>
      <c r="G62">
        <v>73.75</v>
      </c>
      <c r="H62">
        <v>47.86</v>
      </c>
      <c r="I62">
        <v>8.73</v>
      </c>
    </row>
    <row r="63" spans="1:9">
      <c r="A63" s="29">
        <v>45479</v>
      </c>
      <c r="B63">
        <v>1060</v>
      </c>
      <c r="C63" t="s">
        <v>45</v>
      </c>
      <c r="D63" t="s">
        <v>10</v>
      </c>
      <c r="E63" t="s">
        <v>25</v>
      </c>
      <c r="F63">
        <v>14</v>
      </c>
      <c r="G63">
        <v>22.77</v>
      </c>
      <c r="H63">
        <v>6.99</v>
      </c>
      <c r="I63">
        <v>28.83</v>
      </c>
    </row>
    <row r="64" spans="1:9">
      <c r="A64" s="29">
        <v>45482</v>
      </c>
      <c r="B64">
        <v>1061</v>
      </c>
      <c r="C64" t="s">
        <v>42</v>
      </c>
      <c r="D64" t="s">
        <v>21</v>
      </c>
      <c r="E64" t="s">
        <v>11</v>
      </c>
      <c r="F64">
        <v>21</v>
      </c>
      <c r="G64">
        <v>104.81</v>
      </c>
      <c r="H64">
        <v>46.38</v>
      </c>
      <c r="I64">
        <v>143.74</v>
      </c>
    </row>
    <row r="65" spans="1:9">
      <c r="A65" s="29">
        <v>45447</v>
      </c>
      <c r="B65">
        <v>1062</v>
      </c>
      <c r="C65" t="s">
        <v>36</v>
      </c>
      <c r="D65" t="s">
        <v>21</v>
      </c>
      <c r="E65" t="s">
        <v>17</v>
      </c>
      <c r="F65">
        <v>24</v>
      </c>
      <c r="G65">
        <v>80.44</v>
      </c>
      <c r="H65">
        <v>40.19</v>
      </c>
      <c r="I65">
        <v>138.8</v>
      </c>
    </row>
    <row r="66" spans="1:9">
      <c r="A66" s="29">
        <v>45435</v>
      </c>
      <c r="B66">
        <v>1063</v>
      </c>
      <c r="C66" t="s">
        <v>43</v>
      </c>
      <c r="D66" t="s">
        <v>21</v>
      </c>
      <c r="E66" t="s">
        <v>17</v>
      </c>
      <c r="F66">
        <v>25</v>
      </c>
      <c r="G66">
        <v>31.45</v>
      </c>
      <c r="H66">
        <v>18.06</v>
      </c>
      <c r="I66">
        <v>76.51</v>
      </c>
    </row>
    <row r="67" spans="1:9">
      <c r="A67" s="29">
        <v>45354</v>
      </c>
      <c r="B67">
        <v>1064</v>
      </c>
      <c r="C67" t="s">
        <v>12</v>
      </c>
      <c r="D67" t="s">
        <v>21</v>
      </c>
      <c r="E67" t="s">
        <v>17</v>
      </c>
      <c r="F67">
        <v>21</v>
      </c>
      <c r="G67">
        <v>71.03</v>
      </c>
      <c r="H67">
        <v>51.52</v>
      </c>
      <c r="I67">
        <v>197.53</v>
      </c>
    </row>
    <row r="68" spans="1:9">
      <c r="A68" s="29">
        <v>45398</v>
      </c>
      <c r="B68">
        <v>1065</v>
      </c>
      <c r="C68" t="s">
        <v>47</v>
      </c>
      <c r="D68" t="s">
        <v>10</v>
      </c>
      <c r="E68" t="s">
        <v>11</v>
      </c>
      <c r="F68">
        <v>18</v>
      </c>
      <c r="G68">
        <v>50.77</v>
      </c>
      <c r="H68">
        <v>31.21</v>
      </c>
      <c r="I68">
        <v>4.39</v>
      </c>
    </row>
    <row r="69" spans="1:9">
      <c r="A69" s="29">
        <v>45523</v>
      </c>
      <c r="B69">
        <v>1066</v>
      </c>
      <c r="C69" t="s">
        <v>34</v>
      </c>
      <c r="D69" t="s">
        <v>16</v>
      </c>
      <c r="E69" t="s">
        <v>25</v>
      </c>
      <c r="F69">
        <v>7</v>
      </c>
      <c r="G69">
        <v>77.56</v>
      </c>
      <c r="H69">
        <v>45.49</v>
      </c>
      <c r="I69">
        <v>124.18</v>
      </c>
    </row>
    <row r="70" spans="1:9">
      <c r="A70" s="29">
        <v>45456</v>
      </c>
      <c r="B70">
        <v>1067</v>
      </c>
      <c r="C70" t="s">
        <v>35</v>
      </c>
      <c r="D70" t="s">
        <v>16</v>
      </c>
      <c r="E70" t="s">
        <v>25</v>
      </c>
      <c r="F70">
        <v>2</v>
      </c>
      <c r="G70">
        <v>110.24</v>
      </c>
      <c r="H70">
        <v>53.68</v>
      </c>
      <c r="I70">
        <v>40.16</v>
      </c>
    </row>
    <row r="71" spans="1:9">
      <c r="A71" s="29">
        <v>45574</v>
      </c>
      <c r="B71">
        <v>1068</v>
      </c>
      <c r="C71" t="s">
        <v>45</v>
      </c>
      <c r="D71" t="s">
        <v>10</v>
      </c>
      <c r="E71" t="s">
        <v>17</v>
      </c>
      <c r="F71">
        <v>9</v>
      </c>
      <c r="G71">
        <v>92.63</v>
      </c>
      <c r="H71">
        <v>32.59</v>
      </c>
      <c r="I71">
        <v>192.58</v>
      </c>
    </row>
    <row r="72" spans="1:9">
      <c r="A72" s="29">
        <v>45534</v>
      </c>
      <c r="B72">
        <v>1069</v>
      </c>
      <c r="C72" t="s">
        <v>32</v>
      </c>
      <c r="D72" t="s">
        <v>21</v>
      </c>
      <c r="E72" t="s">
        <v>25</v>
      </c>
      <c r="F72">
        <v>14</v>
      </c>
      <c r="G72">
        <v>51.81</v>
      </c>
      <c r="H72">
        <v>21.66</v>
      </c>
      <c r="I72">
        <v>76.21</v>
      </c>
    </row>
    <row r="73" spans="1:9">
      <c r="A73" s="29">
        <v>45508</v>
      </c>
      <c r="B73">
        <v>1070</v>
      </c>
      <c r="C73" t="s">
        <v>24</v>
      </c>
      <c r="D73" t="s">
        <v>21</v>
      </c>
      <c r="E73" t="s">
        <v>11</v>
      </c>
      <c r="F73">
        <v>14</v>
      </c>
      <c r="G73">
        <v>110.21</v>
      </c>
      <c r="H73">
        <v>53.31</v>
      </c>
      <c r="I73">
        <v>27.96</v>
      </c>
    </row>
    <row r="74" spans="1:9">
      <c r="A74" s="29">
        <v>45585</v>
      </c>
      <c r="B74">
        <v>1071</v>
      </c>
      <c r="C74" t="s">
        <v>9</v>
      </c>
      <c r="D74" t="s">
        <v>10</v>
      </c>
      <c r="E74" t="s">
        <v>17</v>
      </c>
      <c r="F74">
        <v>23</v>
      </c>
      <c r="G74">
        <v>28.69</v>
      </c>
      <c r="H74">
        <v>9.89</v>
      </c>
      <c r="I74">
        <v>97.87</v>
      </c>
    </row>
    <row r="75" spans="1:9">
      <c r="A75" s="29">
        <v>45581</v>
      </c>
      <c r="B75">
        <v>1072</v>
      </c>
      <c r="C75" t="s">
        <v>12</v>
      </c>
      <c r="D75" t="s">
        <v>23</v>
      </c>
      <c r="E75" t="s">
        <v>11</v>
      </c>
      <c r="F75">
        <v>11</v>
      </c>
      <c r="G75">
        <v>70.8</v>
      </c>
      <c r="H75">
        <v>32.67</v>
      </c>
      <c r="I75">
        <v>79.63</v>
      </c>
    </row>
    <row r="76" spans="1:9">
      <c r="A76" s="29">
        <v>45318</v>
      </c>
      <c r="B76">
        <v>1073</v>
      </c>
      <c r="C76" t="s">
        <v>18</v>
      </c>
      <c r="D76" t="s">
        <v>10</v>
      </c>
      <c r="E76" t="s">
        <v>11</v>
      </c>
      <c r="F76">
        <v>10</v>
      </c>
      <c r="G76">
        <v>38.31</v>
      </c>
      <c r="H76">
        <v>21.23</v>
      </c>
      <c r="I76">
        <v>13.72</v>
      </c>
    </row>
    <row r="77" spans="1:9">
      <c r="A77" s="29">
        <v>45595</v>
      </c>
      <c r="B77">
        <v>1074</v>
      </c>
      <c r="C77" t="s">
        <v>9</v>
      </c>
      <c r="D77" t="s">
        <v>21</v>
      </c>
      <c r="E77" t="s">
        <v>11</v>
      </c>
      <c r="F77">
        <v>4</v>
      </c>
      <c r="G77">
        <v>118.65</v>
      </c>
      <c r="H77">
        <v>78.23</v>
      </c>
      <c r="I77">
        <v>21.99</v>
      </c>
    </row>
    <row r="78" spans="1:9">
      <c r="A78" s="29">
        <v>45512</v>
      </c>
      <c r="B78">
        <v>1075</v>
      </c>
      <c r="C78" t="s">
        <v>9</v>
      </c>
      <c r="D78" t="s">
        <v>48</v>
      </c>
      <c r="E78" t="s">
        <v>14</v>
      </c>
      <c r="F78">
        <v>16</v>
      </c>
      <c r="G78">
        <v>24.27</v>
      </c>
      <c r="H78">
        <v>12.18</v>
      </c>
      <c r="I78">
        <v>72.41</v>
      </c>
    </row>
    <row r="79" spans="1:9">
      <c r="A79" s="29">
        <v>45586</v>
      </c>
      <c r="B79">
        <v>1076</v>
      </c>
      <c r="C79" t="s">
        <v>39</v>
      </c>
      <c r="D79" t="s">
        <v>21</v>
      </c>
      <c r="E79" t="s">
        <v>11</v>
      </c>
      <c r="F79">
        <v>12</v>
      </c>
      <c r="G79">
        <v>58.04</v>
      </c>
      <c r="H79">
        <v>36.02</v>
      </c>
      <c r="I79">
        <v>88.71</v>
      </c>
    </row>
    <row r="80" spans="1:9">
      <c r="A80" s="29">
        <v>45515</v>
      </c>
      <c r="B80">
        <v>1077</v>
      </c>
      <c r="C80" t="s">
        <v>42</v>
      </c>
      <c r="D80" t="s">
        <v>21</v>
      </c>
      <c r="E80" t="s">
        <v>25</v>
      </c>
      <c r="F80">
        <v>19</v>
      </c>
      <c r="G80">
        <v>58.46</v>
      </c>
      <c r="H80">
        <v>20.55</v>
      </c>
      <c r="I80">
        <v>130.94</v>
      </c>
    </row>
    <row r="81" spans="1:9">
      <c r="A81" s="29">
        <v>45622</v>
      </c>
      <c r="B81">
        <v>1078</v>
      </c>
      <c r="C81" t="s">
        <v>12</v>
      </c>
      <c r="D81" t="s">
        <v>10</v>
      </c>
      <c r="E81" t="s">
        <v>17</v>
      </c>
      <c r="F81">
        <v>3</v>
      </c>
      <c r="G81">
        <v>45.76</v>
      </c>
      <c r="H81">
        <v>18.98</v>
      </c>
      <c r="I81">
        <v>190.72</v>
      </c>
    </row>
    <row r="82" spans="1:9">
      <c r="A82" s="29">
        <v>45321</v>
      </c>
      <c r="B82">
        <v>1079</v>
      </c>
      <c r="C82" t="s">
        <v>18</v>
      </c>
      <c r="D82" t="s">
        <v>23</v>
      </c>
      <c r="E82" t="s">
        <v>14</v>
      </c>
      <c r="F82">
        <v>18</v>
      </c>
      <c r="G82">
        <v>115.32</v>
      </c>
      <c r="H82">
        <v>69.37</v>
      </c>
      <c r="I82">
        <v>82.16</v>
      </c>
    </row>
    <row r="83" spans="1:9">
      <c r="A83" s="29">
        <v>45601</v>
      </c>
      <c r="B83">
        <v>1080</v>
      </c>
      <c r="C83" t="s">
        <v>47</v>
      </c>
      <c r="D83" t="s">
        <v>21</v>
      </c>
      <c r="E83" t="s">
        <v>14</v>
      </c>
      <c r="F83">
        <v>15</v>
      </c>
      <c r="G83">
        <v>36.22</v>
      </c>
      <c r="H83">
        <v>24.64</v>
      </c>
      <c r="I83">
        <v>73.51</v>
      </c>
    </row>
    <row r="84" spans="1:9">
      <c r="A84" s="29">
        <v>45559</v>
      </c>
      <c r="B84">
        <v>1081</v>
      </c>
      <c r="C84" t="s">
        <v>29</v>
      </c>
      <c r="D84" t="s">
        <v>16</v>
      </c>
      <c r="E84" t="s">
        <v>46</v>
      </c>
      <c r="F84">
        <v>8</v>
      </c>
      <c r="G84">
        <v>87.89</v>
      </c>
      <c r="H84">
        <v>39.81</v>
      </c>
      <c r="I84">
        <v>1.22</v>
      </c>
    </row>
    <row r="85" spans="1:9">
      <c r="A85" s="29">
        <v>45628</v>
      </c>
      <c r="B85">
        <v>1082</v>
      </c>
      <c r="C85" t="s">
        <v>19</v>
      </c>
      <c r="D85" t="s">
        <v>16</v>
      </c>
      <c r="E85" t="s">
        <v>17</v>
      </c>
      <c r="F85">
        <v>10</v>
      </c>
      <c r="G85">
        <v>29</v>
      </c>
      <c r="H85">
        <v>12.93</v>
      </c>
      <c r="I85">
        <v>188.28</v>
      </c>
    </row>
    <row r="86" spans="1:9">
      <c r="A86" s="29">
        <v>45362</v>
      </c>
      <c r="B86">
        <v>1083</v>
      </c>
      <c r="C86" t="s">
        <v>39</v>
      </c>
      <c r="D86" t="s">
        <v>16</v>
      </c>
      <c r="E86" t="s">
        <v>17</v>
      </c>
      <c r="F86">
        <v>13</v>
      </c>
      <c r="G86">
        <v>41.5</v>
      </c>
      <c r="H86">
        <v>14.58</v>
      </c>
      <c r="I86">
        <v>85.98</v>
      </c>
    </row>
    <row r="87" spans="1:9">
      <c r="A87" s="29">
        <v>45611</v>
      </c>
      <c r="B87">
        <v>1084</v>
      </c>
      <c r="C87" t="s">
        <v>39</v>
      </c>
      <c r="D87" t="s">
        <v>10</v>
      </c>
      <c r="E87" t="s">
        <v>11</v>
      </c>
      <c r="F87">
        <v>6</v>
      </c>
      <c r="G87">
        <v>94.87</v>
      </c>
      <c r="H87">
        <v>40.82</v>
      </c>
      <c r="I87">
        <v>24</v>
      </c>
    </row>
    <row r="88" spans="1:9">
      <c r="A88" s="29">
        <v>45532</v>
      </c>
      <c r="B88">
        <v>1085</v>
      </c>
      <c r="C88" t="s">
        <v>20</v>
      </c>
      <c r="D88" t="s">
        <v>10</v>
      </c>
      <c r="E88" t="s">
        <v>25</v>
      </c>
      <c r="F88">
        <v>23</v>
      </c>
      <c r="G88">
        <v>16.57</v>
      </c>
      <c r="I88">
        <v>184.23</v>
      </c>
    </row>
    <row r="89" spans="1:9">
      <c r="A89" s="29">
        <v>45620</v>
      </c>
      <c r="B89">
        <v>1086</v>
      </c>
      <c r="C89" t="s">
        <v>36</v>
      </c>
      <c r="D89" t="s">
        <v>23</v>
      </c>
      <c r="E89" t="s">
        <v>25</v>
      </c>
      <c r="F89">
        <v>19</v>
      </c>
      <c r="G89">
        <v>61.69</v>
      </c>
      <c r="H89">
        <v>28.55</v>
      </c>
      <c r="I89">
        <v>87.34</v>
      </c>
    </row>
    <row r="90" spans="1:9">
      <c r="A90" s="29">
        <v>45405</v>
      </c>
      <c r="B90">
        <v>1087</v>
      </c>
      <c r="C90" t="s">
        <v>32</v>
      </c>
      <c r="D90" t="s">
        <v>21</v>
      </c>
      <c r="E90" t="s">
        <v>14</v>
      </c>
      <c r="F90">
        <v>20</v>
      </c>
      <c r="G90">
        <v>24.31</v>
      </c>
      <c r="H90">
        <v>17.2</v>
      </c>
      <c r="I90">
        <v>69.88</v>
      </c>
    </row>
    <row r="91" spans="1:9">
      <c r="A91" s="29">
        <v>45368</v>
      </c>
      <c r="B91">
        <v>1088</v>
      </c>
      <c r="C91" t="s">
        <v>22</v>
      </c>
      <c r="D91" t="s">
        <v>21</v>
      </c>
      <c r="E91" t="s">
        <v>11</v>
      </c>
      <c r="F91">
        <v>24</v>
      </c>
      <c r="G91">
        <v>79.82</v>
      </c>
      <c r="H91">
        <v>44.19</v>
      </c>
      <c r="I91">
        <v>115.89</v>
      </c>
    </row>
    <row r="92" spans="1:9">
      <c r="A92" s="29">
        <v>45597</v>
      </c>
      <c r="B92">
        <v>1089</v>
      </c>
      <c r="C92" t="s">
        <v>38</v>
      </c>
      <c r="D92" t="s">
        <v>21</v>
      </c>
      <c r="E92" t="s">
        <v>17</v>
      </c>
      <c r="F92">
        <v>25</v>
      </c>
      <c r="G92">
        <v>41.66</v>
      </c>
      <c r="H92">
        <v>22.01</v>
      </c>
      <c r="I92">
        <v>62.08</v>
      </c>
    </row>
    <row r="93" spans="1:9">
      <c r="A93" s="29">
        <v>45561</v>
      </c>
      <c r="B93">
        <v>1090</v>
      </c>
      <c r="C93" t="s">
        <v>36</v>
      </c>
      <c r="D93" t="s">
        <v>16</v>
      </c>
      <c r="E93" t="s">
        <v>17</v>
      </c>
      <c r="F93">
        <v>25</v>
      </c>
      <c r="G93">
        <v>91.8</v>
      </c>
      <c r="H93">
        <v>65.09</v>
      </c>
      <c r="I93">
        <v>114.33</v>
      </c>
    </row>
    <row r="94" spans="1:9">
      <c r="A94" s="29">
        <v>45345</v>
      </c>
      <c r="B94">
        <v>1091</v>
      </c>
      <c r="C94" t="s">
        <v>39</v>
      </c>
      <c r="D94" t="s">
        <v>23</v>
      </c>
      <c r="E94" t="s">
        <v>25</v>
      </c>
      <c r="F94">
        <v>2</v>
      </c>
      <c r="G94">
        <v>66.49</v>
      </c>
      <c r="H94">
        <v>27.36</v>
      </c>
      <c r="I94">
        <v>87.55</v>
      </c>
    </row>
    <row r="95" spans="1:9">
      <c r="A95" s="29">
        <v>45526</v>
      </c>
      <c r="B95">
        <v>1092</v>
      </c>
      <c r="C95" t="s">
        <v>49</v>
      </c>
      <c r="D95" t="s">
        <v>21</v>
      </c>
      <c r="E95" t="s">
        <v>11</v>
      </c>
      <c r="F95">
        <v>20</v>
      </c>
      <c r="G95">
        <v>48.14</v>
      </c>
      <c r="H95">
        <v>26.53</v>
      </c>
      <c r="I95">
        <v>77.31</v>
      </c>
    </row>
    <row r="96" spans="1:9">
      <c r="A96" s="29">
        <v>45316</v>
      </c>
      <c r="B96">
        <v>1093</v>
      </c>
      <c r="C96" t="s">
        <v>22</v>
      </c>
      <c r="D96" t="s">
        <v>21</v>
      </c>
      <c r="E96" t="s">
        <v>25</v>
      </c>
      <c r="F96">
        <v>20</v>
      </c>
      <c r="G96">
        <v>87.44</v>
      </c>
      <c r="H96">
        <v>49.65</v>
      </c>
      <c r="I96">
        <v>187.6</v>
      </c>
    </row>
    <row r="97" spans="1:9">
      <c r="A97" s="29">
        <v>45428</v>
      </c>
      <c r="B97">
        <v>1094</v>
      </c>
      <c r="C97" t="s">
        <v>22</v>
      </c>
      <c r="D97" t="s">
        <v>16</v>
      </c>
      <c r="E97" t="s">
        <v>46</v>
      </c>
      <c r="F97">
        <v>9</v>
      </c>
      <c r="G97">
        <v>31.47</v>
      </c>
      <c r="H97">
        <v>22.86</v>
      </c>
      <c r="I97">
        <v>97.25</v>
      </c>
    </row>
    <row r="98" spans="1:9">
      <c r="A98" s="29">
        <v>45519</v>
      </c>
      <c r="B98">
        <v>1095</v>
      </c>
      <c r="C98" t="s">
        <v>15</v>
      </c>
      <c r="D98" t="s">
        <v>16</v>
      </c>
      <c r="E98" t="s">
        <v>11</v>
      </c>
      <c r="F98">
        <v>24</v>
      </c>
      <c r="G98">
        <v>78.75</v>
      </c>
      <c r="H98">
        <v>29.09</v>
      </c>
      <c r="I98">
        <v>36.17</v>
      </c>
    </row>
    <row r="99" spans="1:9">
      <c r="A99" s="29">
        <v>45603</v>
      </c>
      <c r="B99">
        <v>1096</v>
      </c>
      <c r="C99" t="s">
        <v>12</v>
      </c>
      <c r="D99" t="s">
        <v>16</v>
      </c>
      <c r="E99" t="s">
        <v>14</v>
      </c>
      <c r="F99">
        <v>19</v>
      </c>
      <c r="G99">
        <v>42.77</v>
      </c>
      <c r="H99">
        <v>21.47</v>
      </c>
      <c r="I99">
        <v>106.8</v>
      </c>
    </row>
    <row r="100" spans="1:9">
      <c r="A100" s="29">
        <v>45331</v>
      </c>
      <c r="B100">
        <v>1097</v>
      </c>
      <c r="C100" t="s">
        <v>34</v>
      </c>
      <c r="D100" t="s">
        <v>23</v>
      </c>
      <c r="E100" t="s">
        <v>17</v>
      </c>
      <c r="F100">
        <v>13</v>
      </c>
      <c r="G100">
        <v>116.36</v>
      </c>
      <c r="H100">
        <v>76.86</v>
      </c>
      <c r="I100">
        <v>27.68</v>
      </c>
    </row>
    <row r="101" spans="1:9">
      <c r="A101" s="29">
        <v>45520</v>
      </c>
      <c r="B101">
        <v>1098</v>
      </c>
      <c r="C101" t="s">
        <v>49</v>
      </c>
      <c r="D101" t="s">
        <v>16</v>
      </c>
      <c r="E101" t="s">
        <v>11</v>
      </c>
      <c r="F101">
        <v>24</v>
      </c>
      <c r="G101">
        <v>29.31</v>
      </c>
      <c r="H101">
        <v>15.56</v>
      </c>
      <c r="I101">
        <v>166.21</v>
      </c>
    </row>
    <row r="102" spans="1:9">
      <c r="A102" s="29">
        <v>45469</v>
      </c>
      <c r="B102">
        <v>1099</v>
      </c>
      <c r="C102" t="s">
        <v>49</v>
      </c>
      <c r="D102" t="s">
        <v>16</v>
      </c>
      <c r="E102" t="s">
        <v>25</v>
      </c>
      <c r="F102">
        <v>2</v>
      </c>
      <c r="G102">
        <v>52.49</v>
      </c>
      <c r="I102">
        <v>186.17</v>
      </c>
    </row>
    <row r="103" spans="1:9">
      <c r="A103" s="29">
        <v>45476</v>
      </c>
      <c r="B103">
        <v>1100</v>
      </c>
      <c r="C103" t="s">
        <v>39</v>
      </c>
      <c r="D103" t="s">
        <v>21</v>
      </c>
      <c r="E103" t="s">
        <v>14</v>
      </c>
      <c r="F103">
        <v>15</v>
      </c>
      <c r="G103">
        <v>60.45</v>
      </c>
      <c r="I103">
        <v>15.85</v>
      </c>
    </row>
    <row r="104" spans="1:9">
      <c r="A104" s="29">
        <v>45454</v>
      </c>
      <c r="B104">
        <v>1101</v>
      </c>
      <c r="C104" t="s">
        <v>26</v>
      </c>
      <c r="D104" t="s">
        <v>23</v>
      </c>
      <c r="E104" t="s">
        <v>25</v>
      </c>
      <c r="F104">
        <v>7</v>
      </c>
      <c r="G104">
        <v>57.34</v>
      </c>
      <c r="H104">
        <v>29</v>
      </c>
      <c r="I104">
        <v>22.17</v>
      </c>
    </row>
    <row r="105" spans="1:9">
      <c r="A105" s="29">
        <v>45376</v>
      </c>
      <c r="B105">
        <v>1102</v>
      </c>
      <c r="C105" t="s">
        <v>31</v>
      </c>
      <c r="D105" t="s">
        <v>10</v>
      </c>
      <c r="E105" t="s">
        <v>11</v>
      </c>
      <c r="F105">
        <v>7</v>
      </c>
      <c r="G105">
        <v>73.63</v>
      </c>
      <c r="H105">
        <v>44.23</v>
      </c>
      <c r="I105">
        <v>104.7</v>
      </c>
    </row>
    <row r="106" spans="1:9">
      <c r="A106" s="29">
        <v>45339</v>
      </c>
      <c r="B106">
        <v>1103</v>
      </c>
      <c r="C106" t="s">
        <v>26</v>
      </c>
      <c r="D106" t="s">
        <v>16</v>
      </c>
      <c r="E106" t="s">
        <v>17</v>
      </c>
      <c r="F106">
        <v>8</v>
      </c>
      <c r="G106">
        <v>92.71</v>
      </c>
      <c r="H106">
        <v>30.63</v>
      </c>
      <c r="I106">
        <v>48.23</v>
      </c>
    </row>
    <row r="107" spans="1:9">
      <c r="A107" s="29">
        <v>45427</v>
      </c>
      <c r="B107">
        <v>1104</v>
      </c>
      <c r="C107" t="s">
        <v>38</v>
      </c>
      <c r="D107" t="s">
        <v>50</v>
      </c>
      <c r="E107" t="s">
        <v>14</v>
      </c>
      <c r="F107">
        <v>21</v>
      </c>
      <c r="G107">
        <v>62.18</v>
      </c>
      <c r="H107">
        <v>36.33</v>
      </c>
      <c r="I107">
        <v>162.3</v>
      </c>
    </row>
    <row r="108" spans="1:9">
      <c r="A108" s="29">
        <v>45322</v>
      </c>
      <c r="B108">
        <v>1105</v>
      </c>
      <c r="C108" t="s">
        <v>15</v>
      </c>
      <c r="D108" t="s">
        <v>10</v>
      </c>
      <c r="E108" t="s">
        <v>25</v>
      </c>
      <c r="F108">
        <v>17</v>
      </c>
      <c r="G108">
        <v>63.13</v>
      </c>
      <c r="I108">
        <v>129.38</v>
      </c>
    </row>
    <row r="109" spans="1:9">
      <c r="A109" s="29">
        <v>45530</v>
      </c>
      <c r="B109">
        <v>1106</v>
      </c>
      <c r="C109" t="s">
        <v>35</v>
      </c>
      <c r="D109" t="s">
        <v>21</v>
      </c>
      <c r="E109" t="s">
        <v>17</v>
      </c>
      <c r="F109">
        <v>12</v>
      </c>
      <c r="G109">
        <v>48.62</v>
      </c>
      <c r="H109">
        <v>29.73</v>
      </c>
      <c r="I109">
        <v>73.47</v>
      </c>
    </row>
    <row r="110" spans="1:9">
      <c r="A110" s="29">
        <v>45555</v>
      </c>
      <c r="B110">
        <v>1107</v>
      </c>
      <c r="C110" t="s">
        <v>18</v>
      </c>
      <c r="D110" t="s">
        <v>23</v>
      </c>
      <c r="E110" t="s">
        <v>25</v>
      </c>
      <c r="F110">
        <v>2</v>
      </c>
      <c r="G110">
        <v>47.42</v>
      </c>
      <c r="H110">
        <v>23.74</v>
      </c>
      <c r="I110">
        <v>143.53</v>
      </c>
    </row>
    <row r="111" spans="1:9">
      <c r="A111" s="29">
        <v>45551</v>
      </c>
      <c r="B111">
        <v>1108</v>
      </c>
      <c r="C111" t="s">
        <v>33</v>
      </c>
      <c r="D111" t="s">
        <v>21</v>
      </c>
      <c r="E111" t="s">
        <v>11</v>
      </c>
      <c r="F111">
        <v>20</v>
      </c>
      <c r="G111">
        <v>55.87</v>
      </c>
      <c r="H111">
        <v>35.61</v>
      </c>
      <c r="I111">
        <v>32</v>
      </c>
    </row>
    <row r="112" spans="1:9">
      <c r="A112" s="29">
        <v>45348</v>
      </c>
      <c r="B112">
        <v>1109</v>
      </c>
      <c r="C112" t="s">
        <v>22</v>
      </c>
      <c r="D112" t="s">
        <v>16</v>
      </c>
      <c r="E112" t="s">
        <v>25</v>
      </c>
      <c r="F112">
        <v>18</v>
      </c>
      <c r="G112">
        <v>15.5</v>
      </c>
      <c r="H112">
        <v>7.79</v>
      </c>
      <c r="I112">
        <v>74.19</v>
      </c>
    </row>
    <row r="113" spans="1:9">
      <c r="A113" s="29">
        <v>45536</v>
      </c>
      <c r="B113">
        <v>1110</v>
      </c>
      <c r="C113" t="s">
        <v>32</v>
      </c>
      <c r="D113" t="s">
        <v>21</v>
      </c>
      <c r="E113" t="s">
        <v>51</v>
      </c>
      <c r="F113">
        <v>5</v>
      </c>
      <c r="G113">
        <v>65.9</v>
      </c>
      <c r="H113">
        <v>36.43</v>
      </c>
      <c r="I113">
        <v>52.36</v>
      </c>
    </row>
    <row r="114" spans="1:9">
      <c r="A114" s="29">
        <v>45434</v>
      </c>
      <c r="B114">
        <v>1111</v>
      </c>
      <c r="C114" t="s">
        <v>20</v>
      </c>
      <c r="D114" t="s">
        <v>23</v>
      </c>
      <c r="E114" t="s">
        <v>11</v>
      </c>
      <c r="F114">
        <v>22</v>
      </c>
      <c r="G114">
        <v>60.07</v>
      </c>
      <c r="H114">
        <v>36.45</v>
      </c>
      <c r="I114">
        <v>169.1</v>
      </c>
    </row>
    <row r="115" spans="1:9">
      <c r="A115" s="29">
        <v>45570</v>
      </c>
      <c r="B115">
        <v>1112</v>
      </c>
      <c r="C115" t="s">
        <v>47</v>
      </c>
      <c r="D115" t="s">
        <v>21</v>
      </c>
      <c r="E115" t="s">
        <v>14</v>
      </c>
      <c r="F115">
        <v>16</v>
      </c>
      <c r="G115">
        <v>36.22</v>
      </c>
      <c r="H115">
        <v>23.78</v>
      </c>
      <c r="I115">
        <v>47.35</v>
      </c>
    </row>
    <row r="116" spans="1:9">
      <c r="A116" s="29">
        <v>45567</v>
      </c>
      <c r="B116">
        <v>1113</v>
      </c>
      <c r="C116" t="s">
        <v>15</v>
      </c>
      <c r="D116" t="s">
        <v>10</v>
      </c>
      <c r="E116" t="s">
        <v>25</v>
      </c>
      <c r="F116">
        <v>22</v>
      </c>
      <c r="G116">
        <v>89.64</v>
      </c>
      <c r="H116">
        <v>57.92</v>
      </c>
      <c r="I116">
        <v>164.67</v>
      </c>
    </row>
    <row r="117" spans="1:9">
      <c r="A117" s="29">
        <v>45533</v>
      </c>
      <c r="B117">
        <v>1114</v>
      </c>
      <c r="C117" t="s">
        <v>34</v>
      </c>
      <c r="D117" t="s">
        <v>21</v>
      </c>
      <c r="E117" t="s">
        <v>14</v>
      </c>
      <c r="F117">
        <v>4</v>
      </c>
      <c r="G117">
        <v>58.72</v>
      </c>
      <c r="H117">
        <v>19.08</v>
      </c>
      <c r="I117">
        <v>24.83</v>
      </c>
    </row>
    <row r="118" spans="1:9">
      <c r="A118" s="29">
        <v>45625</v>
      </c>
      <c r="B118">
        <v>1115</v>
      </c>
      <c r="C118" t="s">
        <v>9</v>
      </c>
      <c r="D118" t="s">
        <v>21</v>
      </c>
      <c r="E118" t="s">
        <v>25</v>
      </c>
      <c r="F118">
        <v>8</v>
      </c>
      <c r="G118">
        <v>33.2</v>
      </c>
      <c r="H118">
        <v>14.06</v>
      </c>
      <c r="I118">
        <v>125</v>
      </c>
    </row>
    <row r="119" spans="1:9">
      <c r="A119" s="29">
        <v>45349</v>
      </c>
      <c r="B119">
        <v>1116</v>
      </c>
      <c r="C119" t="s">
        <v>31</v>
      </c>
      <c r="D119" t="s">
        <v>10</v>
      </c>
      <c r="E119" t="s">
        <v>25</v>
      </c>
      <c r="F119">
        <v>18</v>
      </c>
      <c r="G119">
        <v>16.45</v>
      </c>
      <c r="H119">
        <v>5.54</v>
      </c>
      <c r="I119">
        <v>189.71</v>
      </c>
    </row>
    <row r="120" spans="1:9">
      <c r="A120" s="29">
        <v>45510</v>
      </c>
      <c r="B120">
        <v>1117</v>
      </c>
      <c r="C120" t="s">
        <v>37</v>
      </c>
      <c r="D120" t="s">
        <v>16</v>
      </c>
      <c r="E120" t="s">
        <v>25</v>
      </c>
      <c r="F120">
        <v>9</v>
      </c>
      <c r="G120">
        <v>64.16</v>
      </c>
      <c r="H120">
        <v>39.03</v>
      </c>
      <c r="I120">
        <v>59.49</v>
      </c>
    </row>
    <row r="121" spans="1:9">
      <c r="A121" s="29">
        <v>45443</v>
      </c>
      <c r="B121">
        <v>1118</v>
      </c>
      <c r="C121" t="s">
        <v>12</v>
      </c>
      <c r="D121" t="s">
        <v>10</v>
      </c>
      <c r="E121" t="s">
        <v>25</v>
      </c>
      <c r="F121">
        <v>11</v>
      </c>
      <c r="G121">
        <v>117.34</v>
      </c>
      <c r="H121">
        <v>54.77</v>
      </c>
      <c r="I121">
        <v>112.33</v>
      </c>
    </row>
    <row r="122" spans="1:9">
      <c r="A122" s="29">
        <v>45397</v>
      </c>
      <c r="B122">
        <v>1119</v>
      </c>
      <c r="C122" t="s">
        <v>22</v>
      </c>
      <c r="D122" t="s">
        <v>16</v>
      </c>
      <c r="E122" t="s">
        <v>17</v>
      </c>
      <c r="F122">
        <v>5</v>
      </c>
      <c r="G122">
        <v>99.86</v>
      </c>
      <c r="H122">
        <v>62.36</v>
      </c>
      <c r="I122">
        <v>37.97</v>
      </c>
    </row>
    <row r="123" spans="1:9">
      <c r="A123" s="29">
        <v>45293</v>
      </c>
      <c r="B123">
        <v>1120</v>
      </c>
      <c r="C123" t="s">
        <v>44</v>
      </c>
      <c r="D123" t="s">
        <v>16</v>
      </c>
      <c r="E123" t="s">
        <v>17</v>
      </c>
      <c r="F123">
        <v>6</v>
      </c>
      <c r="G123">
        <v>75</v>
      </c>
      <c r="H123">
        <v>32</v>
      </c>
      <c r="I123">
        <v>119.5</v>
      </c>
    </row>
    <row r="124" spans="1:9">
      <c r="A124" s="29">
        <v>45388</v>
      </c>
      <c r="B124">
        <v>1121</v>
      </c>
      <c r="C124" t="s">
        <v>35</v>
      </c>
      <c r="D124" t="s">
        <v>23</v>
      </c>
      <c r="E124" t="s">
        <v>25</v>
      </c>
      <c r="F124">
        <v>11</v>
      </c>
      <c r="G124">
        <v>16.89</v>
      </c>
      <c r="H124">
        <v>9.34</v>
      </c>
      <c r="I124">
        <v>72.5</v>
      </c>
    </row>
    <row r="125" spans="1:9">
      <c r="A125" s="29">
        <v>45505</v>
      </c>
      <c r="B125">
        <v>1122</v>
      </c>
      <c r="C125" t="s">
        <v>42</v>
      </c>
      <c r="D125" t="s">
        <v>16</v>
      </c>
      <c r="E125" t="s">
        <v>25</v>
      </c>
      <c r="F125">
        <v>10</v>
      </c>
      <c r="G125">
        <v>72.25</v>
      </c>
      <c r="H125">
        <v>26.37</v>
      </c>
      <c r="I125">
        <v>120.49</v>
      </c>
    </row>
    <row r="126" spans="1:9">
      <c r="A126" s="29">
        <v>45416</v>
      </c>
      <c r="B126">
        <v>1123</v>
      </c>
      <c r="C126" t="s">
        <v>38</v>
      </c>
      <c r="D126" t="s">
        <v>23</v>
      </c>
      <c r="E126" t="s">
        <v>14</v>
      </c>
      <c r="F126">
        <v>19</v>
      </c>
      <c r="G126">
        <v>46.4</v>
      </c>
      <c r="H126">
        <v>26.79</v>
      </c>
      <c r="I126">
        <v>168.52</v>
      </c>
    </row>
    <row r="127" spans="1:9">
      <c r="A127" s="29">
        <v>45460</v>
      </c>
      <c r="B127">
        <v>1124</v>
      </c>
      <c r="C127" t="s">
        <v>20</v>
      </c>
      <c r="D127" t="s">
        <v>13</v>
      </c>
      <c r="E127" t="s">
        <v>25</v>
      </c>
      <c r="F127">
        <v>13</v>
      </c>
      <c r="G127">
        <v>75.04</v>
      </c>
      <c r="H127">
        <v>47</v>
      </c>
      <c r="I127">
        <v>137.61</v>
      </c>
    </row>
    <row r="128" spans="1:9">
      <c r="A128" s="29">
        <v>45378</v>
      </c>
      <c r="B128">
        <v>1125</v>
      </c>
      <c r="C128" t="s">
        <v>41</v>
      </c>
      <c r="D128" t="s">
        <v>10</v>
      </c>
      <c r="E128" t="s">
        <v>14</v>
      </c>
      <c r="F128">
        <v>23</v>
      </c>
      <c r="G128">
        <v>78.93</v>
      </c>
      <c r="H128">
        <v>28.93</v>
      </c>
      <c r="I128">
        <v>136.15</v>
      </c>
    </row>
    <row r="129" spans="1:9">
      <c r="A129" s="29">
        <v>45438</v>
      </c>
      <c r="B129">
        <v>1126</v>
      </c>
      <c r="C129" t="s">
        <v>37</v>
      </c>
      <c r="D129" t="s">
        <v>10</v>
      </c>
      <c r="E129" t="s">
        <v>17</v>
      </c>
      <c r="F129">
        <v>23</v>
      </c>
      <c r="G129">
        <v>90.56</v>
      </c>
      <c r="H129">
        <v>48.31</v>
      </c>
      <c r="I129">
        <v>112.18</v>
      </c>
    </row>
    <row r="130" spans="1:9">
      <c r="A130" s="29">
        <v>45495</v>
      </c>
      <c r="B130">
        <v>1127</v>
      </c>
      <c r="C130" t="s">
        <v>52</v>
      </c>
      <c r="D130" t="s">
        <v>23</v>
      </c>
      <c r="E130" t="s">
        <v>25</v>
      </c>
      <c r="F130">
        <v>23</v>
      </c>
      <c r="G130">
        <v>85.52</v>
      </c>
      <c r="H130">
        <v>35.83</v>
      </c>
      <c r="I130">
        <v>96.84</v>
      </c>
    </row>
    <row r="131" spans="1:9">
      <c r="A131" s="29">
        <v>45330</v>
      </c>
      <c r="B131">
        <v>1128</v>
      </c>
      <c r="C131" t="s">
        <v>47</v>
      </c>
      <c r="D131" t="s">
        <v>21</v>
      </c>
      <c r="E131" t="s">
        <v>17</v>
      </c>
      <c r="F131">
        <v>11</v>
      </c>
      <c r="G131">
        <v>72.53</v>
      </c>
      <c r="H131">
        <v>45.31</v>
      </c>
      <c r="I131">
        <v>57.56</v>
      </c>
    </row>
    <row r="132" spans="1:9">
      <c r="A132" s="29">
        <v>45580</v>
      </c>
      <c r="B132">
        <v>1129</v>
      </c>
      <c r="C132" t="s">
        <v>45</v>
      </c>
      <c r="D132" t="s">
        <v>21</v>
      </c>
      <c r="E132" t="s">
        <v>25</v>
      </c>
      <c r="F132">
        <v>22</v>
      </c>
      <c r="G132">
        <v>20.54</v>
      </c>
      <c r="H132">
        <v>12.23</v>
      </c>
      <c r="I132">
        <v>149.47</v>
      </c>
    </row>
    <row r="133" spans="1:9">
      <c r="A133" s="29">
        <v>45418</v>
      </c>
      <c r="B133">
        <v>1130</v>
      </c>
      <c r="C133" t="s">
        <v>42</v>
      </c>
      <c r="D133" t="s">
        <v>10</v>
      </c>
      <c r="E133" t="s">
        <v>14</v>
      </c>
      <c r="F133">
        <v>21</v>
      </c>
      <c r="G133">
        <v>109.76</v>
      </c>
      <c r="H133">
        <v>44.43</v>
      </c>
      <c r="I133">
        <v>20.04</v>
      </c>
    </row>
    <row r="134" spans="1:9">
      <c r="A134" s="29">
        <v>45336</v>
      </c>
      <c r="B134">
        <v>1131</v>
      </c>
      <c r="C134" t="s">
        <v>24</v>
      </c>
      <c r="D134" t="s">
        <v>10</v>
      </c>
      <c r="E134" t="s">
        <v>17</v>
      </c>
      <c r="F134">
        <v>6</v>
      </c>
      <c r="G134">
        <v>93.64</v>
      </c>
      <c r="H134">
        <v>40.12</v>
      </c>
      <c r="I134">
        <v>11.83</v>
      </c>
    </row>
    <row r="135" spans="1:9">
      <c r="A135" s="29">
        <v>45578</v>
      </c>
      <c r="B135">
        <v>1132</v>
      </c>
      <c r="C135" t="s">
        <v>19</v>
      </c>
      <c r="D135" t="s">
        <v>16</v>
      </c>
      <c r="E135" t="s">
        <v>14</v>
      </c>
      <c r="F135">
        <v>1</v>
      </c>
      <c r="G135">
        <v>119.69</v>
      </c>
      <c r="H135">
        <v>62.59</v>
      </c>
      <c r="I135">
        <v>187.32</v>
      </c>
    </row>
    <row r="136" spans="1:9">
      <c r="A136" s="29">
        <v>45463</v>
      </c>
      <c r="B136">
        <v>1133</v>
      </c>
      <c r="C136" t="s">
        <v>31</v>
      </c>
      <c r="D136" t="s">
        <v>16</v>
      </c>
      <c r="E136" t="s">
        <v>17</v>
      </c>
      <c r="F136">
        <v>17</v>
      </c>
      <c r="G136">
        <v>68.63</v>
      </c>
      <c r="H136">
        <v>24.73</v>
      </c>
      <c r="I136">
        <v>100.84</v>
      </c>
    </row>
    <row r="137" spans="1:9">
      <c r="A137" s="29">
        <v>45329</v>
      </c>
      <c r="B137">
        <v>1134</v>
      </c>
      <c r="C137" t="s">
        <v>36</v>
      </c>
      <c r="D137" t="s">
        <v>13</v>
      </c>
      <c r="E137" t="s">
        <v>25</v>
      </c>
      <c r="F137">
        <v>18</v>
      </c>
      <c r="G137">
        <v>84.84</v>
      </c>
      <c r="H137">
        <v>48.78</v>
      </c>
      <c r="I137">
        <v>127.75</v>
      </c>
    </row>
    <row r="138" spans="1:9">
      <c r="A138" s="29">
        <v>45347</v>
      </c>
      <c r="B138">
        <v>1135</v>
      </c>
      <c r="C138" t="s">
        <v>34</v>
      </c>
      <c r="D138" t="s">
        <v>16</v>
      </c>
      <c r="E138" t="s">
        <v>25</v>
      </c>
      <c r="F138">
        <v>0</v>
      </c>
      <c r="G138">
        <v>40.16</v>
      </c>
      <c r="H138">
        <v>25.67</v>
      </c>
      <c r="I138">
        <v>190.81</v>
      </c>
    </row>
    <row r="139" spans="1:9">
      <c r="A139" s="29">
        <v>45557</v>
      </c>
      <c r="B139">
        <v>1136</v>
      </c>
      <c r="C139" t="s">
        <v>20</v>
      </c>
      <c r="D139" t="s">
        <v>10</v>
      </c>
      <c r="E139" t="s">
        <v>25</v>
      </c>
      <c r="F139">
        <v>21</v>
      </c>
      <c r="G139">
        <v>66.27</v>
      </c>
      <c r="H139">
        <v>40.86</v>
      </c>
      <c r="I139">
        <v>62.2</v>
      </c>
    </row>
    <row r="140" spans="1:9">
      <c r="A140" s="29">
        <v>45364</v>
      </c>
      <c r="B140">
        <v>1137</v>
      </c>
      <c r="C140" t="s">
        <v>22</v>
      </c>
      <c r="D140" t="s">
        <v>23</v>
      </c>
      <c r="E140" t="s">
        <v>25</v>
      </c>
      <c r="F140">
        <v>17</v>
      </c>
      <c r="G140">
        <v>110.58</v>
      </c>
      <c r="H140">
        <v>73.08</v>
      </c>
      <c r="I140">
        <v>165.12</v>
      </c>
    </row>
    <row r="141" spans="1:9">
      <c r="A141" s="29">
        <v>45467</v>
      </c>
      <c r="B141">
        <v>1138</v>
      </c>
      <c r="C141" t="s">
        <v>12</v>
      </c>
      <c r="D141" t="s">
        <v>21</v>
      </c>
      <c r="E141" t="s">
        <v>11</v>
      </c>
      <c r="F141">
        <v>16</v>
      </c>
      <c r="G141">
        <v>33.83</v>
      </c>
      <c r="H141">
        <v>12.65</v>
      </c>
      <c r="I141">
        <v>170.9</v>
      </c>
    </row>
    <row r="142" spans="1:9">
      <c r="A142" s="29">
        <v>45306</v>
      </c>
      <c r="B142">
        <v>1139</v>
      </c>
      <c r="C142" t="s">
        <v>27</v>
      </c>
      <c r="D142" t="s">
        <v>23</v>
      </c>
      <c r="E142" t="s">
        <v>17</v>
      </c>
      <c r="F142">
        <v>1</v>
      </c>
      <c r="G142">
        <v>72.35</v>
      </c>
      <c r="H142">
        <v>31.74</v>
      </c>
      <c r="I142">
        <v>4.35</v>
      </c>
    </row>
    <row r="143" spans="1:9">
      <c r="A143" s="29">
        <v>45444</v>
      </c>
      <c r="B143">
        <v>1140</v>
      </c>
      <c r="C143" t="s">
        <v>39</v>
      </c>
      <c r="D143" t="s">
        <v>23</v>
      </c>
      <c r="E143" t="s">
        <v>11</v>
      </c>
      <c r="F143">
        <v>2</v>
      </c>
      <c r="G143">
        <v>118.5</v>
      </c>
      <c r="H143">
        <v>50.86</v>
      </c>
      <c r="I143">
        <v>36</v>
      </c>
    </row>
    <row r="144" spans="1:9">
      <c r="A144" s="29">
        <v>45541</v>
      </c>
      <c r="B144">
        <v>1141</v>
      </c>
      <c r="C144" t="s">
        <v>37</v>
      </c>
      <c r="D144" t="s">
        <v>21</v>
      </c>
      <c r="E144" t="s">
        <v>17</v>
      </c>
      <c r="F144">
        <v>21</v>
      </c>
      <c r="G144">
        <v>116.13</v>
      </c>
      <c r="H144">
        <v>41.79</v>
      </c>
      <c r="I144">
        <v>172.06</v>
      </c>
    </row>
    <row r="145" spans="1:9">
      <c r="A145" s="29">
        <v>45488</v>
      </c>
      <c r="B145">
        <v>1142</v>
      </c>
      <c r="C145" t="s">
        <v>9</v>
      </c>
      <c r="D145" t="s">
        <v>16</v>
      </c>
      <c r="E145" t="s">
        <v>17</v>
      </c>
      <c r="F145">
        <v>17</v>
      </c>
      <c r="G145">
        <v>57.81</v>
      </c>
      <c r="H145">
        <v>23.32</v>
      </c>
      <c r="I145">
        <v>92.13</v>
      </c>
    </row>
    <row r="146" spans="1:9">
      <c r="A146" s="29">
        <v>45439</v>
      </c>
      <c r="B146">
        <v>1143</v>
      </c>
      <c r="C146" t="s">
        <v>35</v>
      </c>
      <c r="D146" t="s">
        <v>16</v>
      </c>
      <c r="E146" t="s">
        <v>11</v>
      </c>
      <c r="F146">
        <v>2</v>
      </c>
      <c r="G146">
        <v>22.9</v>
      </c>
      <c r="I146">
        <v>119.56</v>
      </c>
    </row>
    <row r="147" spans="1:9">
      <c r="A147" s="29">
        <v>45571</v>
      </c>
      <c r="B147">
        <v>1144</v>
      </c>
      <c r="C147" t="s">
        <v>12</v>
      </c>
      <c r="D147" t="s">
        <v>10</v>
      </c>
      <c r="E147" t="s">
        <v>11</v>
      </c>
      <c r="F147">
        <v>9</v>
      </c>
      <c r="G147">
        <v>37.29</v>
      </c>
      <c r="H147">
        <v>20.85</v>
      </c>
      <c r="I147">
        <v>115.49</v>
      </c>
    </row>
    <row r="148" spans="1:9">
      <c r="A148" s="29">
        <v>45441</v>
      </c>
      <c r="B148">
        <v>1145</v>
      </c>
      <c r="C148" t="s">
        <v>34</v>
      </c>
      <c r="D148" t="s">
        <v>10</v>
      </c>
      <c r="E148" t="s">
        <v>14</v>
      </c>
      <c r="F148">
        <v>13</v>
      </c>
      <c r="G148">
        <v>72.03</v>
      </c>
      <c r="H148">
        <v>32.77</v>
      </c>
      <c r="I148">
        <v>128.66</v>
      </c>
    </row>
    <row r="149" spans="1:9">
      <c r="A149" s="29">
        <v>45480</v>
      </c>
      <c r="B149">
        <v>1146</v>
      </c>
      <c r="C149" t="s">
        <v>22</v>
      </c>
      <c r="D149" t="s">
        <v>21</v>
      </c>
      <c r="E149" t="s">
        <v>17</v>
      </c>
      <c r="F149">
        <v>7</v>
      </c>
      <c r="G149">
        <v>44.48</v>
      </c>
      <c r="H149">
        <v>29.47</v>
      </c>
      <c r="I149">
        <v>182.95</v>
      </c>
    </row>
    <row r="150" spans="1:9">
      <c r="A150" s="29">
        <v>45511</v>
      </c>
      <c r="B150">
        <v>1147</v>
      </c>
      <c r="C150" t="s">
        <v>9</v>
      </c>
      <c r="D150" t="s">
        <v>21</v>
      </c>
      <c r="E150" t="s">
        <v>17</v>
      </c>
      <c r="F150">
        <v>2</v>
      </c>
      <c r="G150">
        <v>69.85</v>
      </c>
      <c r="H150">
        <v>22.57</v>
      </c>
      <c r="I150">
        <v>75.43</v>
      </c>
    </row>
    <row r="151" spans="1:9">
      <c r="A151" s="29">
        <v>45360</v>
      </c>
      <c r="B151">
        <v>1148</v>
      </c>
      <c r="C151" t="s">
        <v>41</v>
      </c>
      <c r="D151" t="s">
        <v>10</v>
      </c>
      <c r="E151" t="s">
        <v>25</v>
      </c>
      <c r="F151">
        <v>0</v>
      </c>
      <c r="G151">
        <v>34.88</v>
      </c>
      <c r="H151">
        <v>22.1</v>
      </c>
      <c r="I151">
        <v>149.38</v>
      </c>
    </row>
    <row r="152" spans="1:9">
      <c r="A152" s="29">
        <v>45343</v>
      </c>
      <c r="B152">
        <v>1149</v>
      </c>
      <c r="C152" t="s">
        <v>32</v>
      </c>
      <c r="D152" t="s">
        <v>10</v>
      </c>
      <c r="E152" t="s">
        <v>17</v>
      </c>
      <c r="F152">
        <v>20</v>
      </c>
      <c r="G152">
        <v>50.8</v>
      </c>
      <c r="H152">
        <v>26.96</v>
      </c>
      <c r="I152">
        <v>99.46</v>
      </c>
    </row>
    <row r="153" spans="1:9">
      <c r="A153" s="29">
        <v>45305</v>
      </c>
      <c r="B153">
        <v>1150</v>
      </c>
      <c r="C153" t="s">
        <v>53</v>
      </c>
      <c r="D153" t="s">
        <v>21</v>
      </c>
      <c r="E153" t="s">
        <v>14</v>
      </c>
      <c r="F153">
        <v>0</v>
      </c>
      <c r="G153">
        <v>40.16</v>
      </c>
      <c r="H153">
        <v>22.51</v>
      </c>
      <c r="I153">
        <v>83.52</v>
      </c>
    </row>
    <row r="154" spans="1:9">
      <c r="A154" s="29">
        <v>45299</v>
      </c>
      <c r="B154">
        <v>1151</v>
      </c>
      <c r="C154" t="s">
        <v>9</v>
      </c>
      <c r="D154" t="s">
        <v>23</v>
      </c>
      <c r="E154" t="s">
        <v>25</v>
      </c>
      <c r="F154">
        <v>15</v>
      </c>
      <c r="G154">
        <v>116.38</v>
      </c>
      <c r="H154">
        <v>60.61</v>
      </c>
      <c r="I154">
        <v>33.65</v>
      </c>
    </row>
    <row r="155" spans="1:9">
      <c r="A155" s="29">
        <v>45553</v>
      </c>
      <c r="B155">
        <v>1152</v>
      </c>
      <c r="C155" t="s">
        <v>52</v>
      </c>
      <c r="D155" t="s">
        <v>16</v>
      </c>
      <c r="E155" t="s">
        <v>11</v>
      </c>
      <c r="F155">
        <v>21</v>
      </c>
      <c r="G155">
        <v>17.24</v>
      </c>
      <c r="I155">
        <v>27.5</v>
      </c>
    </row>
    <row r="156" spans="1:9">
      <c r="A156" s="29">
        <v>45524</v>
      </c>
      <c r="B156">
        <v>1153</v>
      </c>
      <c r="C156" t="s">
        <v>26</v>
      </c>
      <c r="D156" t="s">
        <v>23</v>
      </c>
      <c r="E156" t="s">
        <v>17</v>
      </c>
      <c r="F156">
        <v>0</v>
      </c>
      <c r="G156">
        <v>12.71</v>
      </c>
      <c r="H156">
        <v>3.88</v>
      </c>
      <c r="I156">
        <v>105.88</v>
      </c>
    </row>
    <row r="157" spans="1:9">
      <c r="A157" s="29">
        <v>45429</v>
      </c>
      <c r="B157">
        <v>1154</v>
      </c>
      <c r="C157" t="s">
        <v>34</v>
      </c>
      <c r="D157" t="s">
        <v>23</v>
      </c>
      <c r="E157" t="s">
        <v>11</v>
      </c>
      <c r="F157">
        <v>16</v>
      </c>
      <c r="G157">
        <v>28.08</v>
      </c>
      <c r="H157">
        <v>15.08</v>
      </c>
      <c r="I157">
        <v>163.04</v>
      </c>
    </row>
    <row r="158" spans="1:9">
      <c r="A158" s="29">
        <v>45377</v>
      </c>
      <c r="B158">
        <v>1155</v>
      </c>
      <c r="C158" t="s">
        <v>12</v>
      </c>
      <c r="D158" t="s">
        <v>10</v>
      </c>
      <c r="E158" t="s">
        <v>11</v>
      </c>
      <c r="F158">
        <v>20</v>
      </c>
      <c r="G158">
        <v>94.04</v>
      </c>
      <c r="H158">
        <v>44.26</v>
      </c>
      <c r="I158">
        <v>110.54</v>
      </c>
    </row>
    <row r="159" spans="1:9">
      <c r="A159" s="29">
        <v>45310</v>
      </c>
      <c r="B159">
        <v>1156</v>
      </c>
      <c r="C159" t="s">
        <v>33</v>
      </c>
      <c r="D159" t="s">
        <v>23</v>
      </c>
      <c r="E159" t="s">
        <v>11</v>
      </c>
      <c r="F159">
        <v>1</v>
      </c>
      <c r="G159">
        <v>36.81</v>
      </c>
      <c r="H159">
        <v>22.51</v>
      </c>
      <c r="I159">
        <v>113.36</v>
      </c>
    </row>
    <row r="160" spans="1:9">
      <c r="A160" s="29">
        <v>45556</v>
      </c>
      <c r="B160">
        <v>1157</v>
      </c>
      <c r="C160" t="s">
        <v>29</v>
      </c>
      <c r="D160" t="s">
        <v>16</v>
      </c>
      <c r="E160" t="s">
        <v>11</v>
      </c>
      <c r="F160">
        <v>18</v>
      </c>
      <c r="G160">
        <v>27.57</v>
      </c>
      <c r="H160">
        <v>18.46</v>
      </c>
      <c r="I160">
        <v>185.77</v>
      </c>
    </row>
    <row r="161" spans="1:9">
      <c r="A161" s="29">
        <v>45558</v>
      </c>
      <c r="B161">
        <v>1158</v>
      </c>
      <c r="C161" t="s">
        <v>32</v>
      </c>
      <c r="D161" t="s">
        <v>21</v>
      </c>
      <c r="E161" t="s">
        <v>11</v>
      </c>
      <c r="F161">
        <v>11</v>
      </c>
      <c r="G161">
        <v>17.8</v>
      </c>
      <c r="H161">
        <v>12.06</v>
      </c>
      <c r="I161">
        <v>68.12</v>
      </c>
    </row>
    <row r="162" spans="1:9">
      <c r="A162" s="29">
        <v>45493</v>
      </c>
      <c r="B162">
        <v>1159</v>
      </c>
      <c r="C162" t="s">
        <v>24</v>
      </c>
      <c r="D162" t="s">
        <v>21</v>
      </c>
      <c r="E162" t="s">
        <v>14</v>
      </c>
      <c r="F162">
        <v>12</v>
      </c>
      <c r="G162">
        <v>58.64</v>
      </c>
      <c r="H162">
        <v>35.03</v>
      </c>
      <c r="I162">
        <v>17.14</v>
      </c>
    </row>
    <row r="163" spans="1:9">
      <c r="A163" s="29">
        <v>45367</v>
      </c>
      <c r="B163">
        <v>1160</v>
      </c>
      <c r="C163" t="s">
        <v>22</v>
      </c>
      <c r="D163" t="s">
        <v>23</v>
      </c>
      <c r="E163" t="s">
        <v>17</v>
      </c>
      <c r="F163">
        <v>3</v>
      </c>
      <c r="G163">
        <v>21.88</v>
      </c>
      <c r="H163">
        <v>10.94</v>
      </c>
      <c r="I163">
        <v>152.27</v>
      </c>
    </row>
    <row r="164" spans="1:9">
      <c r="A164" s="29">
        <v>45528</v>
      </c>
      <c r="B164">
        <v>1161</v>
      </c>
      <c r="C164" t="s">
        <v>29</v>
      </c>
      <c r="D164" t="s">
        <v>23</v>
      </c>
      <c r="E164" t="s">
        <v>11</v>
      </c>
      <c r="F164">
        <v>25</v>
      </c>
      <c r="G164">
        <v>47.04</v>
      </c>
      <c r="H164">
        <v>20.29</v>
      </c>
      <c r="I164">
        <v>77.56</v>
      </c>
    </row>
    <row r="165" spans="1:9">
      <c r="A165" s="29">
        <v>45606</v>
      </c>
      <c r="B165">
        <v>1162</v>
      </c>
      <c r="C165" t="s">
        <v>31</v>
      </c>
      <c r="D165" t="s">
        <v>10</v>
      </c>
      <c r="E165" t="s">
        <v>25</v>
      </c>
      <c r="F165">
        <v>15</v>
      </c>
      <c r="G165">
        <v>27.76</v>
      </c>
      <c r="H165">
        <v>11.78</v>
      </c>
      <c r="I165">
        <v>59.95</v>
      </c>
    </row>
    <row r="166" spans="1:9">
      <c r="A166" s="29">
        <v>45582</v>
      </c>
      <c r="B166">
        <v>1163</v>
      </c>
      <c r="C166" t="s">
        <v>36</v>
      </c>
      <c r="D166" t="s">
        <v>23</v>
      </c>
      <c r="E166" t="s">
        <v>11</v>
      </c>
      <c r="F166">
        <v>0</v>
      </c>
      <c r="G166">
        <v>114.47</v>
      </c>
      <c r="H166">
        <v>66.29</v>
      </c>
      <c r="I166">
        <v>160.82</v>
      </c>
    </row>
    <row r="167" spans="1:9">
      <c r="A167" s="29">
        <v>45514</v>
      </c>
      <c r="B167">
        <v>1164</v>
      </c>
      <c r="C167" t="s">
        <v>36</v>
      </c>
      <c r="D167" t="s">
        <v>10</v>
      </c>
      <c r="E167" t="s">
        <v>14</v>
      </c>
      <c r="F167">
        <v>5</v>
      </c>
      <c r="G167">
        <v>116.17</v>
      </c>
      <c r="H167">
        <v>50.09</v>
      </c>
      <c r="I167">
        <v>138.99</v>
      </c>
    </row>
    <row r="168" spans="1:9">
      <c r="A168" s="29">
        <v>45341</v>
      </c>
      <c r="B168">
        <v>1165</v>
      </c>
      <c r="C168" t="s">
        <v>42</v>
      </c>
      <c r="D168" t="s">
        <v>23</v>
      </c>
      <c r="E168" t="s">
        <v>14</v>
      </c>
      <c r="F168">
        <v>17</v>
      </c>
      <c r="G168">
        <v>31.43</v>
      </c>
      <c r="H168">
        <v>9.81</v>
      </c>
      <c r="I168">
        <v>145.44</v>
      </c>
    </row>
    <row r="169" spans="1:9">
      <c r="A169" s="29">
        <v>45313</v>
      </c>
      <c r="B169">
        <v>1166</v>
      </c>
      <c r="C169" t="s">
        <v>20</v>
      </c>
      <c r="D169" t="s">
        <v>16</v>
      </c>
      <c r="E169" t="s">
        <v>17</v>
      </c>
      <c r="F169">
        <v>4</v>
      </c>
      <c r="G169">
        <v>80.4</v>
      </c>
      <c r="H169">
        <v>47.95</v>
      </c>
      <c r="I169">
        <v>143.05</v>
      </c>
    </row>
    <row r="170" spans="1:9">
      <c r="A170" s="29">
        <v>45433</v>
      </c>
      <c r="B170">
        <v>1167</v>
      </c>
      <c r="C170" t="s">
        <v>31</v>
      </c>
      <c r="D170" t="s">
        <v>23</v>
      </c>
      <c r="E170" t="s">
        <v>17</v>
      </c>
      <c r="F170">
        <v>25</v>
      </c>
      <c r="G170">
        <v>116.59</v>
      </c>
      <c r="H170">
        <v>77.59</v>
      </c>
      <c r="I170">
        <v>118.76</v>
      </c>
    </row>
    <row r="171" spans="1:9">
      <c r="A171" s="29">
        <v>45413</v>
      </c>
      <c r="B171">
        <v>1168</v>
      </c>
      <c r="C171" t="s">
        <v>43</v>
      </c>
      <c r="D171" t="s">
        <v>10</v>
      </c>
      <c r="E171" t="s">
        <v>17</v>
      </c>
      <c r="F171">
        <v>10</v>
      </c>
      <c r="G171">
        <v>116.3</v>
      </c>
      <c r="H171">
        <v>35.44</v>
      </c>
      <c r="I171">
        <v>51.75</v>
      </c>
    </row>
    <row r="172" spans="1:9">
      <c r="A172" s="29">
        <v>45518</v>
      </c>
      <c r="B172">
        <v>1169</v>
      </c>
      <c r="C172" t="s">
        <v>9</v>
      </c>
      <c r="D172" t="s">
        <v>23</v>
      </c>
      <c r="E172" t="s">
        <v>14</v>
      </c>
      <c r="F172">
        <v>0</v>
      </c>
      <c r="G172">
        <v>64.14</v>
      </c>
      <c r="H172">
        <v>45.81</v>
      </c>
      <c r="I172">
        <v>17.17</v>
      </c>
    </row>
    <row r="173" spans="1:9">
      <c r="A173" s="29">
        <v>45432</v>
      </c>
      <c r="B173">
        <v>1170</v>
      </c>
      <c r="C173" t="s">
        <v>15</v>
      </c>
      <c r="D173" t="s">
        <v>10</v>
      </c>
      <c r="E173" t="s">
        <v>11</v>
      </c>
      <c r="F173">
        <v>22</v>
      </c>
      <c r="G173">
        <v>60.86</v>
      </c>
      <c r="H173">
        <v>19.48</v>
      </c>
      <c r="I173">
        <v>142.16</v>
      </c>
    </row>
    <row r="174" spans="1:9">
      <c r="A174" s="29">
        <v>45424</v>
      </c>
      <c r="B174">
        <v>1171</v>
      </c>
      <c r="C174" t="s">
        <v>52</v>
      </c>
      <c r="D174" t="s">
        <v>10</v>
      </c>
      <c r="E174" t="s">
        <v>25</v>
      </c>
      <c r="F174">
        <v>14</v>
      </c>
      <c r="G174">
        <v>37.04</v>
      </c>
      <c r="H174">
        <v>14.19</v>
      </c>
      <c r="I174">
        <v>128.1</v>
      </c>
    </row>
    <row r="175" spans="1:9">
      <c r="A175" s="29">
        <v>45473</v>
      </c>
      <c r="B175">
        <v>1172</v>
      </c>
      <c r="C175" t="s">
        <v>12</v>
      </c>
      <c r="D175" t="s">
        <v>23</v>
      </c>
      <c r="E175" t="s">
        <v>14</v>
      </c>
      <c r="F175">
        <v>22</v>
      </c>
      <c r="G175">
        <v>99.34</v>
      </c>
      <c r="H175">
        <v>34.35</v>
      </c>
      <c r="I175">
        <v>174.4</v>
      </c>
    </row>
    <row r="176" spans="1:9">
      <c r="A176" s="29">
        <v>45391</v>
      </c>
      <c r="B176">
        <v>1173</v>
      </c>
      <c r="C176" t="s">
        <v>34</v>
      </c>
      <c r="D176" t="s">
        <v>23</v>
      </c>
      <c r="E176" t="s">
        <v>17</v>
      </c>
      <c r="F176">
        <v>18</v>
      </c>
      <c r="G176">
        <v>24.34</v>
      </c>
      <c r="H176">
        <v>12.32</v>
      </c>
      <c r="I176">
        <v>34.51</v>
      </c>
    </row>
    <row r="177" spans="1:9">
      <c r="A177" s="29">
        <v>45384</v>
      </c>
      <c r="B177">
        <v>1174</v>
      </c>
      <c r="C177" t="s">
        <v>34</v>
      </c>
      <c r="D177" t="s">
        <v>10</v>
      </c>
      <c r="E177" t="s">
        <v>11</v>
      </c>
      <c r="F177">
        <v>22</v>
      </c>
      <c r="G177">
        <v>27.27</v>
      </c>
      <c r="H177">
        <v>15.5</v>
      </c>
      <c r="I177">
        <v>114.96</v>
      </c>
    </row>
    <row r="178" spans="1:9">
      <c r="A178" s="29">
        <v>45358</v>
      </c>
      <c r="B178">
        <v>1175</v>
      </c>
      <c r="C178" t="s">
        <v>36</v>
      </c>
      <c r="D178" t="s">
        <v>10</v>
      </c>
      <c r="E178" t="s">
        <v>14</v>
      </c>
      <c r="F178">
        <v>14</v>
      </c>
      <c r="G178">
        <v>78.9</v>
      </c>
      <c r="H178">
        <v>57.47</v>
      </c>
      <c r="I178">
        <v>96.92</v>
      </c>
    </row>
    <row r="179" spans="1:9">
      <c r="A179" s="29">
        <v>45525</v>
      </c>
      <c r="B179">
        <v>1176</v>
      </c>
      <c r="C179" t="s">
        <v>44</v>
      </c>
      <c r="D179" t="s">
        <v>23</v>
      </c>
      <c r="E179" t="s">
        <v>17</v>
      </c>
      <c r="F179">
        <v>2</v>
      </c>
      <c r="G179">
        <v>73.06</v>
      </c>
      <c r="H179">
        <v>29.17</v>
      </c>
      <c r="I179">
        <v>6.54</v>
      </c>
    </row>
    <row r="180" spans="1:9">
      <c r="A180" s="29">
        <v>45408</v>
      </c>
      <c r="B180">
        <v>1177</v>
      </c>
      <c r="C180" t="s">
        <v>19</v>
      </c>
      <c r="D180" t="s">
        <v>23</v>
      </c>
      <c r="E180" t="s">
        <v>11</v>
      </c>
      <c r="F180">
        <v>17</v>
      </c>
      <c r="G180">
        <v>100.91</v>
      </c>
      <c r="H180">
        <v>67.63</v>
      </c>
      <c r="I180">
        <v>8.32</v>
      </c>
    </row>
    <row r="181" spans="1:9">
      <c r="A181" s="29">
        <v>45630</v>
      </c>
      <c r="B181">
        <v>1178</v>
      </c>
      <c r="C181" t="s">
        <v>19</v>
      </c>
      <c r="D181" t="s">
        <v>10</v>
      </c>
      <c r="E181" t="s">
        <v>17</v>
      </c>
      <c r="F181">
        <v>2</v>
      </c>
      <c r="G181">
        <v>59.42</v>
      </c>
      <c r="H181">
        <v>38.57</v>
      </c>
      <c r="I181">
        <v>47.39</v>
      </c>
    </row>
    <row r="182" spans="1:9">
      <c r="A182" s="29">
        <v>45395</v>
      </c>
      <c r="B182">
        <v>1179</v>
      </c>
      <c r="C182" t="s">
        <v>28</v>
      </c>
      <c r="D182" t="s">
        <v>23</v>
      </c>
      <c r="E182" t="s">
        <v>14</v>
      </c>
      <c r="F182">
        <v>25</v>
      </c>
      <c r="G182">
        <v>18.41</v>
      </c>
      <c r="H182">
        <v>7.85</v>
      </c>
      <c r="I182">
        <v>107.75</v>
      </c>
    </row>
    <row r="183" spans="1:9">
      <c r="A183" s="29">
        <v>45338</v>
      </c>
      <c r="B183">
        <v>1180</v>
      </c>
      <c r="C183" t="s">
        <v>33</v>
      </c>
      <c r="D183" t="s">
        <v>16</v>
      </c>
      <c r="E183" t="s">
        <v>17</v>
      </c>
      <c r="F183">
        <v>8</v>
      </c>
      <c r="G183">
        <v>105.64</v>
      </c>
      <c r="H183">
        <v>72.86</v>
      </c>
      <c r="I183">
        <v>49.94</v>
      </c>
    </row>
    <row r="184" spans="1:9">
      <c r="A184" s="29">
        <v>45465</v>
      </c>
      <c r="B184">
        <v>1181</v>
      </c>
      <c r="C184" t="s">
        <v>44</v>
      </c>
      <c r="D184" t="s">
        <v>10</v>
      </c>
      <c r="E184" t="s">
        <v>17</v>
      </c>
      <c r="F184">
        <v>2</v>
      </c>
      <c r="G184">
        <v>80.43</v>
      </c>
      <c r="H184">
        <v>27.5</v>
      </c>
      <c r="I184">
        <v>103.12</v>
      </c>
    </row>
    <row r="185" spans="1:9">
      <c r="A185" s="29">
        <v>45297</v>
      </c>
      <c r="B185">
        <v>1182</v>
      </c>
      <c r="C185" t="s">
        <v>31</v>
      </c>
      <c r="D185" t="s">
        <v>16</v>
      </c>
      <c r="E185" t="s">
        <v>11</v>
      </c>
      <c r="F185">
        <v>14</v>
      </c>
      <c r="G185">
        <v>80.56</v>
      </c>
      <c r="H185">
        <v>54.99</v>
      </c>
      <c r="I185">
        <v>159.14</v>
      </c>
    </row>
    <row r="186" spans="1:9">
      <c r="A186" s="29">
        <v>45599</v>
      </c>
      <c r="B186">
        <v>1183</v>
      </c>
      <c r="C186" t="s">
        <v>38</v>
      </c>
      <c r="D186" t="s">
        <v>21</v>
      </c>
      <c r="E186" t="s">
        <v>17</v>
      </c>
      <c r="F186">
        <v>21</v>
      </c>
      <c r="G186">
        <v>94.32</v>
      </c>
      <c r="H186">
        <v>54.87</v>
      </c>
      <c r="I186">
        <v>167.34</v>
      </c>
    </row>
    <row r="187" spans="1:9">
      <c r="A187" s="29">
        <v>45552</v>
      </c>
      <c r="B187">
        <v>1184</v>
      </c>
      <c r="C187" t="s">
        <v>37</v>
      </c>
      <c r="D187" t="s">
        <v>10</v>
      </c>
      <c r="E187" t="s">
        <v>25</v>
      </c>
      <c r="F187">
        <v>8</v>
      </c>
      <c r="G187">
        <v>22.08</v>
      </c>
      <c r="H187">
        <v>7.44</v>
      </c>
      <c r="I187">
        <v>132.9</v>
      </c>
    </row>
    <row r="188" spans="1:1">
      <c r="A188" s="29">
        <v>45419</v>
      </c>
    </row>
    <row r="189" spans="1:9">
      <c r="A189" s="29">
        <v>45609</v>
      </c>
      <c r="B189">
        <v>1185</v>
      </c>
      <c r="C189" t="s">
        <v>20</v>
      </c>
      <c r="D189" t="s">
        <v>10</v>
      </c>
      <c r="E189" t="s">
        <v>51</v>
      </c>
      <c r="F189">
        <v>15</v>
      </c>
      <c r="G189">
        <v>20.42</v>
      </c>
      <c r="H189">
        <v>10.9</v>
      </c>
      <c r="I189">
        <v>89.01</v>
      </c>
    </row>
    <row r="190" spans="1:9">
      <c r="A190" s="29">
        <v>45504</v>
      </c>
      <c r="B190">
        <v>1186</v>
      </c>
      <c r="C190" t="s">
        <v>37</v>
      </c>
      <c r="D190" t="s">
        <v>10</v>
      </c>
      <c r="E190" t="s">
        <v>11</v>
      </c>
      <c r="F190">
        <v>3</v>
      </c>
      <c r="G190">
        <v>23.15</v>
      </c>
      <c r="H190">
        <v>10.06</v>
      </c>
      <c r="I190">
        <v>76.54</v>
      </c>
    </row>
    <row r="191" spans="1:9">
      <c r="A191" s="29">
        <v>45436</v>
      </c>
      <c r="B191">
        <v>1187</v>
      </c>
      <c r="C191" t="s">
        <v>18</v>
      </c>
      <c r="D191" t="s">
        <v>16</v>
      </c>
      <c r="E191" t="s">
        <v>25</v>
      </c>
      <c r="F191">
        <v>20</v>
      </c>
      <c r="G191">
        <v>92.81</v>
      </c>
      <c r="H191">
        <v>53.57</v>
      </c>
      <c r="I191">
        <v>88.48</v>
      </c>
    </row>
    <row r="192" spans="1:9">
      <c r="A192" s="29">
        <v>45453</v>
      </c>
      <c r="B192">
        <v>1188</v>
      </c>
      <c r="C192" t="s">
        <v>19</v>
      </c>
      <c r="D192" t="s">
        <v>23</v>
      </c>
      <c r="E192" t="s">
        <v>14</v>
      </c>
      <c r="F192">
        <v>20</v>
      </c>
      <c r="G192">
        <v>21.1</v>
      </c>
      <c r="H192">
        <v>12.03</v>
      </c>
      <c r="I192">
        <v>121.52</v>
      </c>
    </row>
    <row r="193" spans="1:9">
      <c r="A193" s="29">
        <v>45623</v>
      </c>
      <c r="B193">
        <v>1189</v>
      </c>
      <c r="C193" t="s">
        <v>47</v>
      </c>
      <c r="D193" t="s">
        <v>10</v>
      </c>
      <c r="E193" t="s">
        <v>17</v>
      </c>
      <c r="F193">
        <v>1</v>
      </c>
      <c r="G193">
        <v>96.65</v>
      </c>
      <c r="H193">
        <v>39.4</v>
      </c>
      <c r="I193">
        <v>77.18</v>
      </c>
    </row>
    <row r="194" spans="1:9">
      <c r="A194" s="29">
        <v>45363</v>
      </c>
      <c r="B194">
        <v>1190</v>
      </c>
      <c r="C194" t="s">
        <v>24</v>
      </c>
      <c r="D194" t="s">
        <v>21</v>
      </c>
      <c r="E194" t="s">
        <v>17</v>
      </c>
      <c r="F194">
        <v>21</v>
      </c>
      <c r="G194">
        <v>30.66</v>
      </c>
      <c r="H194">
        <v>22.82</v>
      </c>
      <c r="I194">
        <v>14.6</v>
      </c>
    </row>
    <row r="195" spans="1:9">
      <c r="A195" s="29">
        <v>45411</v>
      </c>
      <c r="B195">
        <v>1191</v>
      </c>
      <c r="C195" t="s">
        <v>39</v>
      </c>
      <c r="D195" t="s">
        <v>23</v>
      </c>
      <c r="E195" t="s">
        <v>17</v>
      </c>
      <c r="F195">
        <v>12</v>
      </c>
      <c r="G195">
        <v>20.9</v>
      </c>
      <c r="H195">
        <v>12.06</v>
      </c>
      <c r="I195">
        <v>55.49</v>
      </c>
    </row>
    <row r="196" spans="1:9">
      <c r="A196" s="29">
        <v>45461</v>
      </c>
      <c r="B196">
        <v>1192</v>
      </c>
      <c r="C196" t="s">
        <v>22</v>
      </c>
      <c r="D196" t="s">
        <v>21</v>
      </c>
      <c r="E196" t="s">
        <v>11</v>
      </c>
      <c r="F196">
        <v>13</v>
      </c>
      <c r="G196">
        <v>90.84</v>
      </c>
      <c r="H196">
        <v>29.62</v>
      </c>
      <c r="I196">
        <v>17.24</v>
      </c>
    </row>
    <row r="197" spans="1:9">
      <c r="A197" s="29">
        <v>45538</v>
      </c>
      <c r="B197">
        <v>1193</v>
      </c>
      <c r="C197" t="s">
        <v>34</v>
      </c>
      <c r="D197" t="s">
        <v>10</v>
      </c>
      <c r="E197" t="s">
        <v>11</v>
      </c>
      <c r="F197">
        <v>11</v>
      </c>
      <c r="G197">
        <v>68.48</v>
      </c>
      <c r="H197">
        <v>42.76</v>
      </c>
      <c r="I197">
        <v>33.39</v>
      </c>
    </row>
    <row r="198" spans="1:9">
      <c r="A198" s="29">
        <v>45409</v>
      </c>
      <c r="B198">
        <v>1194</v>
      </c>
      <c r="C198" t="s">
        <v>27</v>
      </c>
      <c r="D198" t="s">
        <v>16</v>
      </c>
      <c r="E198" t="s">
        <v>11</v>
      </c>
      <c r="F198">
        <v>18</v>
      </c>
      <c r="G198">
        <v>79.77</v>
      </c>
      <c r="H198">
        <v>42.27</v>
      </c>
      <c r="I198">
        <v>11.09</v>
      </c>
    </row>
    <row r="199" spans="1:9">
      <c r="A199" s="29">
        <v>45549</v>
      </c>
      <c r="B199">
        <v>1195</v>
      </c>
      <c r="C199" t="s">
        <v>35</v>
      </c>
      <c r="D199" t="s">
        <v>16</v>
      </c>
      <c r="E199" t="s">
        <v>11</v>
      </c>
      <c r="F199">
        <v>0</v>
      </c>
      <c r="G199">
        <v>38.41</v>
      </c>
      <c r="H199">
        <v>18.14</v>
      </c>
      <c r="I199">
        <v>30.02</v>
      </c>
    </row>
    <row r="200" spans="1:9">
      <c r="A200" s="29">
        <v>45421</v>
      </c>
      <c r="B200">
        <v>1196</v>
      </c>
      <c r="C200" t="s">
        <v>19</v>
      </c>
      <c r="D200" t="s">
        <v>23</v>
      </c>
      <c r="E200" t="s">
        <v>25</v>
      </c>
      <c r="F200">
        <v>2</v>
      </c>
      <c r="G200">
        <v>73.73</v>
      </c>
      <c r="H200">
        <v>44.46</v>
      </c>
      <c r="I200">
        <v>10.53</v>
      </c>
    </row>
    <row r="201" spans="1:9">
      <c r="A201" s="29">
        <v>45449</v>
      </c>
      <c r="B201">
        <v>1197</v>
      </c>
      <c r="C201" t="s">
        <v>18</v>
      </c>
      <c r="D201" t="s">
        <v>23</v>
      </c>
      <c r="E201" t="s">
        <v>25</v>
      </c>
      <c r="F201">
        <v>17</v>
      </c>
      <c r="G201">
        <v>61.33</v>
      </c>
      <c r="H201">
        <v>26.45</v>
      </c>
      <c r="I201">
        <v>156.9</v>
      </c>
    </row>
    <row r="202" spans="1:1">
      <c r="A202" s="29">
        <v>45311</v>
      </c>
    </row>
    <row r="203" spans="1:9">
      <c r="A203" s="29">
        <v>45598</v>
      </c>
      <c r="B203">
        <v>1198</v>
      </c>
      <c r="C203" t="s">
        <v>44</v>
      </c>
      <c r="D203" t="s">
        <v>10</v>
      </c>
      <c r="E203" t="s">
        <v>14</v>
      </c>
      <c r="F203">
        <v>13</v>
      </c>
      <c r="G203">
        <v>14.58</v>
      </c>
      <c r="H203">
        <v>8.55</v>
      </c>
      <c r="I203">
        <v>138.69</v>
      </c>
    </row>
    <row r="204" spans="1:9">
      <c r="A204" s="29">
        <v>45381</v>
      </c>
      <c r="B204">
        <v>1199</v>
      </c>
      <c r="C204" t="s">
        <v>33</v>
      </c>
      <c r="D204" t="s">
        <v>21</v>
      </c>
      <c r="E204" t="s">
        <v>14</v>
      </c>
      <c r="F204">
        <v>1</v>
      </c>
      <c r="G204">
        <v>117.04</v>
      </c>
      <c r="H204">
        <v>49.85</v>
      </c>
      <c r="I204">
        <v>8.78</v>
      </c>
    </row>
    <row r="205" spans="1:9">
      <c r="A205" s="29">
        <v>45558</v>
      </c>
      <c r="B205">
        <v>1200</v>
      </c>
      <c r="C205" t="s">
        <v>12</v>
      </c>
      <c r="D205" t="s">
        <v>16</v>
      </c>
      <c r="E205" t="s">
        <v>17</v>
      </c>
      <c r="F205">
        <v>18</v>
      </c>
      <c r="G205">
        <v>18.73</v>
      </c>
      <c r="H205">
        <v>6.72</v>
      </c>
      <c r="I205">
        <v>58.34</v>
      </c>
    </row>
    <row r="206" spans="1:9">
      <c r="A206" t="s">
        <v>54</v>
      </c>
      <c r="B206">
        <v>1201</v>
      </c>
      <c r="C206" t="s">
        <v>38</v>
      </c>
      <c r="D206" t="s">
        <v>23</v>
      </c>
      <c r="E206" t="s">
        <v>14</v>
      </c>
      <c r="F206">
        <v>24</v>
      </c>
      <c r="G206">
        <v>75.15</v>
      </c>
      <c r="H206">
        <v>28.1</v>
      </c>
      <c r="I206">
        <v>93.21</v>
      </c>
    </row>
    <row r="207" spans="1:9">
      <c r="A207" s="29">
        <v>45566</v>
      </c>
      <c r="B207">
        <v>1202</v>
      </c>
      <c r="C207" t="s">
        <v>12</v>
      </c>
      <c r="D207" t="s">
        <v>21</v>
      </c>
      <c r="E207" t="s">
        <v>11</v>
      </c>
      <c r="F207">
        <v>21</v>
      </c>
      <c r="G207">
        <v>44.86</v>
      </c>
      <c r="H207">
        <v>25.64</v>
      </c>
      <c r="I207">
        <v>43</v>
      </c>
    </row>
    <row r="208" spans="1:9">
      <c r="A208" s="29">
        <v>45367</v>
      </c>
      <c r="B208">
        <v>1203</v>
      </c>
      <c r="C208" t="s">
        <v>43</v>
      </c>
      <c r="D208" t="s">
        <v>23</v>
      </c>
      <c r="E208" t="s">
        <v>25</v>
      </c>
      <c r="F208">
        <v>5</v>
      </c>
      <c r="G208">
        <v>15.36</v>
      </c>
      <c r="H208">
        <v>7.73</v>
      </c>
      <c r="I208">
        <v>149.62</v>
      </c>
    </row>
    <row r="209" spans="1:9">
      <c r="A209" s="29">
        <v>45528</v>
      </c>
      <c r="B209">
        <v>1204</v>
      </c>
      <c r="C209" t="s">
        <v>35</v>
      </c>
      <c r="D209" t="s">
        <v>16</v>
      </c>
      <c r="E209" t="s">
        <v>14</v>
      </c>
      <c r="F209">
        <v>12</v>
      </c>
      <c r="G209">
        <v>52.2</v>
      </c>
      <c r="H209">
        <v>30.8</v>
      </c>
      <c r="I209">
        <v>116.46</v>
      </c>
    </row>
    <row r="210" spans="1:9">
      <c r="A210" s="29">
        <v>45330</v>
      </c>
      <c r="B210">
        <v>1205</v>
      </c>
      <c r="C210" t="s">
        <v>27</v>
      </c>
      <c r="D210" t="s">
        <v>23</v>
      </c>
      <c r="E210" t="s">
        <v>25</v>
      </c>
      <c r="F210">
        <v>14</v>
      </c>
      <c r="G210">
        <v>17.47</v>
      </c>
      <c r="H210">
        <v>8.65</v>
      </c>
      <c r="I210">
        <v>144.89</v>
      </c>
    </row>
    <row r="211" spans="1:9">
      <c r="A211" t="s">
        <v>55</v>
      </c>
      <c r="B211">
        <v>1206</v>
      </c>
      <c r="C211" t="s">
        <v>53</v>
      </c>
      <c r="D211" t="s">
        <v>10</v>
      </c>
      <c r="E211" t="s">
        <v>14</v>
      </c>
      <c r="F211">
        <v>19</v>
      </c>
      <c r="G211">
        <v>78.63</v>
      </c>
      <c r="H211">
        <v>41.24</v>
      </c>
      <c r="I211">
        <v>176.56</v>
      </c>
    </row>
    <row r="212" spans="1:9">
      <c r="A212" s="29">
        <v>45336</v>
      </c>
      <c r="B212">
        <v>1207</v>
      </c>
      <c r="C212" t="s">
        <v>53</v>
      </c>
      <c r="D212" t="s">
        <v>10</v>
      </c>
      <c r="E212" t="s">
        <v>11</v>
      </c>
      <c r="F212">
        <v>25</v>
      </c>
      <c r="G212">
        <v>89.04</v>
      </c>
      <c r="H212">
        <v>58.02</v>
      </c>
      <c r="I212">
        <v>68.81</v>
      </c>
    </row>
    <row r="213" spans="1:9">
      <c r="A213" s="29">
        <v>45456</v>
      </c>
      <c r="B213">
        <v>1208</v>
      </c>
      <c r="C213" t="s">
        <v>38</v>
      </c>
      <c r="D213" t="s">
        <v>50</v>
      </c>
      <c r="E213" t="s">
        <v>25</v>
      </c>
      <c r="F213">
        <v>15</v>
      </c>
      <c r="G213">
        <v>69.18</v>
      </c>
      <c r="H213">
        <v>51.87</v>
      </c>
      <c r="I213">
        <v>194.8</v>
      </c>
    </row>
    <row r="214" spans="1:9">
      <c r="A214" s="29">
        <v>45628</v>
      </c>
      <c r="B214">
        <v>1209</v>
      </c>
      <c r="C214" t="s">
        <v>15</v>
      </c>
      <c r="D214" t="s">
        <v>16</v>
      </c>
      <c r="E214" t="s">
        <v>17</v>
      </c>
      <c r="F214">
        <v>5</v>
      </c>
      <c r="G214">
        <v>31.02</v>
      </c>
      <c r="H214">
        <v>20.56</v>
      </c>
      <c r="I214">
        <v>139.53</v>
      </c>
    </row>
    <row r="215" spans="1:9">
      <c r="A215" t="s">
        <v>56</v>
      </c>
      <c r="B215">
        <v>1210</v>
      </c>
      <c r="C215" t="s">
        <v>31</v>
      </c>
      <c r="D215" t="s">
        <v>10</v>
      </c>
      <c r="E215" t="s">
        <v>17</v>
      </c>
      <c r="F215">
        <v>5</v>
      </c>
      <c r="G215">
        <v>64.97</v>
      </c>
      <c r="H215">
        <v>26.29</v>
      </c>
      <c r="I215">
        <v>43.76</v>
      </c>
    </row>
    <row r="216" spans="1:9">
      <c r="A216" s="29">
        <v>45292</v>
      </c>
      <c r="B216">
        <v>1211</v>
      </c>
      <c r="C216" t="s">
        <v>15</v>
      </c>
      <c r="D216" t="s">
        <v>10</v>
      </c>
      <c r="E216" t="s">
        <v>25</v>
      </c>
      <c r="F216">
        <v>4</v>
      </c>
      <c r="G216">
        <v>75.35</v>
      </c>
      <c r="H216">
        <v>48.86</v>
      </c>
      <c r="I216">
        <v>169.3</v>
      </c>
    </row>
    <row r="217" spans="1:9">
      <c r="A217" s="29">
        <v>45329</v>
      </c>
      <c r="B217">
        <v>1212</v>
      </c>
      <c r="C217" t="s">
        <v>32</v>
      </c>
      <c r="D217" t="s">
        <v>16</v>
      </c>
      <c r="E217" t="s">
        <v>14</v>
      </c>
      <c r="F217">
        <v>13</v>
      </c>
      <c r="G217">
        <v>97.52</v>
      </c>
      <c r="H217">
        <v>57.74</v>
      </c>
      <c r="I217">
        <v>34.84</v>
      </c>
    </row>
    <row r="218" spans="1:9">
      <c r="A218" s="30">
        <v>45606</v>
      </c>
      <c r="B218">
        <v>1213</v>
      </c>
      <c r="C218" t="s">
        <v>31</v>
      </c>
      <c r="D218" t="s">
        <v>10</v>
      </c>
      <c r="E218" t="s">
        <v>25</v>
      </c>
      <c r="F218">
        <v>23</v>
      </c>
      <c r="G218">
        <v>12.19</v>
      </c>
      <c r="H218">
        <v>6.8</v>
      </c>
      <c r="I218">
        <v>170.15</v>
      </c>
    </row>
    <row r="219" spans="1:9">
      <c r="A219" s="29">
        <v>45582</v>
      </c>
      <c r="B219">
        <v>1214</v>
      </c>
      <c r="C219" t="s">
        <v>49</v>
      </c>
      <c r="D219" t="s">
        <v>10</v>
      </c>
      <c r="E219" t="s">
        <v>17</v>
      </c>
      <c r="F219">
        <v>23</v>
      </c>
      <c r="G219">
        <v>20.4</v>
      </c>
      <c r="H219">
        <v>9.05</v>
      </c>
      <c r="I219">
        <v>127.24</v>
      </c>
    </row>
    <row r="220" spans="1:9">
      <c r="A220" t="s">
        <v>57</v>
      </c>
      <c r="B220">
        <v>1215</v>
      </c>
      <c r="C220" t="s">
        <v>24</v>
      </c>
      <c r="D220" t="s">
        <v>21</v>
      </c>
      <c r="E220" t="s">
        <v>25</v>
      </c>
      <c r="F220">
        <v>3</v>
      </c>
      <c r="G220">
        <v>89.8</v>
      </c>
      <c r="H220">
        <v>44.65</v>
      </c>
      <c r="I220">
        <v>83.93</v>
      </c>
    </row>
    <row r="221" spans="1:9">
      <c r="A221" s="29">
        <v>45503</v>
      </c>
      <c r="B221">
        <v>1216</v>
      </c>
      <c r="C221" t="s">
        <v>29</v>
      </c>
      <c r="D221" t="s">
        <v>23</v>
      </c>
      <c r="E221" t="s">
        <v>14</v>
      </c>
      <c r="F221">
        <v>2</v>
      </c>
      <c r="G221">
        <v>98.31</v>
      </c>
      <c r="I221">
        <v>4.02</v>
      </c>
    </row>
    <row r="222" spans="1:9">
      <c r="A222" s="29">
        <v>45345</v>
      </c>
      <c r="B222">
        <v>1217</v>
      </c>
      <c r="C222" t="s">
        <v>32</v>
      </c>
      <c r="D222" t="s">
        <v>10</v>
      </c>
      <c r="E222" t="s">
        <v>11</v>
      </c>
      <c r="F222">
        <v>19</v>
      </c>
      <c r="G222">
        <v>108.47</v>
      </c>
      <c r="H222">
        <v>53.59</v>
      </c>
      <c r="I222">
        <v>130.73</v>
      </c>
    </row>
    <row r="223" spans="1:9">
      <c r="A223" s="29">
        <v>45514</v>
      </c>
      <c r="B223">
        <v>1218</v>
      </c>
      <c r="C223" t="s">
        <v>53</v>
      </c>
      <c r="D223" t="s">
        <v>10</v>
      </c>
      <c r="E223" t="s">
        <v>25</v>
      </c>
      <c r="F223">
        <v>9</v>
      </c>
      <c r="G223">
        <v>37.66</v>
      </c>
      <c r="H223">
        <v>20.99</v>
      </c>
      <c r="I223">
        <v>167.97</v>
      </c>
    </row>
    <row r="224" spans="1:9">
      <c r="A224" s="29">
        <v>45476</v>
      </c>
      <c r="B224">
        <v>1219</v>
      </c>
      <c r="C224" t="s">
        <v>45</v>
      </c>
      <c r="D224" t="s">
        <v>58</v>
      </c>
      <c r="E224" t="s">
        <v>14</v>
      </c>
      <c r="F224">
        <v>2</v>
      </c>
      <c r="G224">
        <v>63.15</v>
      </c>
      <c r="H224">
        <v>41.25</v>
      </c>
      <c r="I224">
        <v>94.19</v>
      </c>
    </row>
    <row r="225" spans="1:9">
      <c r="A225" s="29">
        <v>45427</v>
      </c>
      <c r="B225">
        <v>1220</v>
      </c>
      <c r="C225" t="s">
        <v>52</v>
      </c>
      <c r="D225" t="s">
        <v>21</v>
      </c>
      <c r="E225" t="s">
        <v>17</v>
      </c>
      <c r="F225">
        <v>14</v>
      </c>
      <c r="G225">
        <v>62.23</v>
      </c>
      <c r="H225">
        <v>26.19</v>
      </c>
      <c r="I225">
        <v>12.33</v>
      </c>
    </row>
    <row r="226" spans="1:9">
      <c r="A226" s="29">
        <v>45341</v>
      </c>
      <c r="B226">
        <v>1221</v>
      </c>
      <c r="C226" t="s">
        <v>29</v>
      </c>
      <c r="D226" t="s">
        <v>23</v>
      </c>
      <c r="E226" t="s">
        <v>11</v>
      </c>
      <c r="F226">
        <v>16</v>
      </c>
      <c r="G226">
        <v>57.21</v>
      </c>
      <c r="H226">
        <v>39.48</v>
      </c>
      <c r="I226">
        <v>94.96</v>
      </c>
    </row>
    <row r="227" spans="1:9">
      <c r="A227" s="29">
        <v>45535</v>
      </c>
      <c r="B227">
        <v>1222</v>
      </c>
      <c r="C227" t="s">
        <v>33</v>
      </c>
      <c r="D227" t="s">
        <v>16</v>
      </c>
      <c r="E227" t="s">
        <v>14</v>
      </c>
      <c r="F227">
        <v>24</v>
      </c>
      <c r="G227">
        <v>60.5</v>
      </c>
      <c r="H227">
        <v>22.7</v>
      </c>
      <c r="I227">
        <v>42.38</v>
      </c>
    </row>
    <row r="228" spans="1:9">
      <c r="A228" s="29">
        <v>45313</v>
      </c>
      <c r="B228">
        <v>1223</v>
      </c>
      <c r="C228" t="s">
        <v>37</v>
      </c>
      <c r="D228" t="s">
        <v>10</v>
      </c>
      <c r="E228" t="s">
        <v>25</v>
      </c>
      <c r="F228">
        <v>23</v>
      </c>
      <c r="G228">
        <v>110.73</v>
      </c>
      <c r="H228">
        <v>52.56</v>
      </c>
      <c r="I228">
        <v>79.47</v>
      </c>
    </row>
    <row r="229" spans="1:9">
      <c r="A229" t="s">
        <v>59</v>
      </c>
      <c r="B229">
        <v>1224</v>
      </c>
      <c r="C229" t="s">
        <v>24</v>
      </c>
      <c r="D229" t="s">
        <v>23</v>
      </c>
      <c r="E229" t="s">
        <v>11</v>
      </c>
      <c r="F229">
        <v>18</v>
      </c>
      <c r="G229">
        <v>96.19</v>
      </c>
      <c r="H229">
        <v>66.41</v>
      </c>
      <c r="I229">
        <v>176.03</v>
      </c>
    </row>
    <row r="230" spans="1:9">
      <c r="A230" s="29">
        <v>45427</v>
      </c>
      <c r="B230">
        <v>1225</v>
      </c>
      <c r="C230" t="s">
        <v>28</v>
      </c>
      <c r="D230" t="s">
        <v>40</v>
      </c>
      <c r="E230" t="s">
        <v>14</v>
      </c>
      <c r="F230">
        <v>21</v>
      </c>
      <c r="G230">
        <v>86.92</v>
      </c>
      <c r="I230">
        <v>177.91</v>
      </c>
    </row>
    <row r="231" spans="1:9">
      <c r="A231" s="29">
        <v>45413</v>
      </c>
      <c r="B231">
        <v>1226</v>
      </c>
      <c r="C231" t="s">
        <v>42</v>
      </c>
      <c r="D231" t="s">
        <v>48</v>
      </c>
      <c r="E231" t="s">
        <v>25</v>
      </c>
      <c r="F231">
        <v>15</v>
      </c>
      <c r="G231">
        <v>104.69</v>
      </c>
      <c r="H231">
        <v>77.22</v>
      </c>
      <c r="I231">
        <v>45.59</v>
      </c>
    </row>
    <row r="232" spans="1:9">
      <c r="A232" s="30">
        <v>45518</v>
      </c>
      <c r="B232">
        <v>1227</v>
      </c>
      <c r="C232" t="s">
        <v>19</v>
      </c>
      <c r="D232" t="s">
        <v>23</v>
      </c>
      <c r="E232" t="s">
        <v>17</v>
      </c>
      <c r="F232">
        <v>13</v>
      </c>
      <c r="G232">
        <v>92.02</v>
      </c>
      <c r="H232">
        <v>63.52</v>
      </c>
      <c r="I232">
        <v>164.2</v>
      </c>
    </row>
    <row r="233" spans="1:9">
      <c r="A233" s="29">
        <v>45373</v>
      </c>
      <c r="B233">
        <v>1228</v>
      </c>
      <c r="C233" t="s">
        <v>32</v>
      </c>
      <c r="D233" t="s">
        <v>10</v>
      </c>
      <c r="E233" t="s">
        <v>11</v>
      </c>
      <c r="F233">
        <v>6</v>
      </c>
      <c r="G233">
        <v>102.39</v>
      </c>
      <c r="H233">
        <v>51.75</v>
      </c>
      <c r="I233">
        <v>183.61</v>
      </c>
    </row>
    <row r="234" spans="1:9">
      <c r="A234" s="29">
        <v>45432</v>
      </c>
      <c r="B234">
        <v>1229</v>
      </c>
      <c r="C234" t="s">
        <v>32</v>
      </c>
      <c r="D234" t="s">
        <v>16</v>
      </c>
      <c r="E234" t="s">
        <v>17</v>
      </c>
      <c r="F234">
        <v>5</v>
      </c>
      <c r="G234">
        <v>115.74</v>
      </c>
      <c r="H234">
        <v>63.44</v>
      </c>
      <c r="I234">
        <v>68.85</v>
      </c>
    </row>
    <row r="235" spans="1:9">
      <c r="A235" s="29">
        <v>45631</v>
      </c>
      <c r="B235">
        <v>1230</v>
      </c>
      <c r="C235" t="s">
        <v>47</v>
      </c>
      <c r="D235" t="s">
        <v>16</v>
      </c>
      <c r="E235" t="s">
        <v>14</v>
      </c>
      <c r="F235">
        <v>20</v>
      </c>
      <c r="G235">
        <v>36.31</v>
      </c>
      <c r="H235">
        <v>21.54</v>
      </c>
      <c r="I235">
        <v>102.66</v>
      </c>
    </row>
    <row r="236" spans="1:9">
      <c r="A236" s="29">
        <v>45296</v>
      </c>
      <c r="B236">
        <v>1231</v>
      </c>
      <c r="C236" t="s">
        <v>52</v>
      </c>
      <c r="D236" t="s">
        <v>16</v>
      </c>
      <c r="E236" t="s">
        <v>25</v>
      </c>
      <c r="F236">
        <v>22</v>
      </c>
      <c r="G236">
        <v>81.42</v>
      </c>
      <c r="H236">
        <v>38.22</v>
      </c>
      <c r="I236">
        <v>69.74</v>
      </c>
    </row>
    <row r="237" spans="1:9">
      <c r="A237" s="29">
        <v>45530</v>
      </c>
      <c r="B237">
        <v>1232</v>
      </c>
      <c r="C237" t="s">
        <v>28</v>
      </c>
      <c r="D237" t="s">
        <v>58</v>
      </c>
      <c r="E237" t="s">
        <v>25</v>
      </c>
      <c r="F237">
        <v>19</v>
      </c>
      <c r="G237">
        <v>77.78</v>
      </c>
      <c r="H237">
        <v>27.12</v>
      </c>
      <c r="I237">
        <v>12.77</v>
      </c>
    </row>
    <row r="238" spans="1:9">
      <c r="A238" s="29">
        <v>45619</v>
      </c>
      <c r="B238">
        <v>1233</v>
      </c>
      <c r="C238" t="s">
        <v>36</v>
      </c>
      <c r="D238" t="s">
        <v>21</v>
      </c>
      <c r="E238" t="s">
        <v>14</v>
      </c>
      <c r="F238">
        <v>25</v>
      </c>
      <c r="G238">
        <v>104.59</v>
      </c>
      <c r="H238">
        <v>50.4</v>
      </c>
      <c r="I238">
        <v>63.92</v>
      </c>
    </row>
    <row r="239" spans="1:9">
      <c r="A239" t="s">
        <v>60</v>
      </c>
      <c r="B239">
        <v>1234</v>
      </c>
      <c r="C239" t="s">
        <v>42</v>
      </c>
      <c r="D239" t="s">
        <v>23</v>
      </c>
      <c r="E239" t="s">
        <v>14</v>
      </c>
      <c r="F239">
        <v>22</v>
      </c>
      <c r="G239">
        <v>36.02</v>
      </c>
      <c r="H239">
        <v>23.53</v>
      </c>
      <c r="I239">
        <v>181.31</v>
      </c>
    </row>
    <row r="240" spans="1:9">
      <c r="A240" s="29">
        <v>45551</v>
      </c>
      <c r="B240">
        <v>1235</v>
      </c>
      <c r="C240" t="s">
        <v>34</v>
      </c>
      <c r="D240" t="s">
        <v>10</v>
      </c>
      <c r="E240" t="s">
        <v>25</v>
      </c>
      <c r="F240">
        <v>17</v>
      </c>
      <c r="G240">
        <v>94.4</v>
      </c>
      <c r="H240">
        <v>57.19</v>
      </c>
      <c r="I240">
        <v>67.13</v>
      </c>
    </row>
    <row r="241" spans="1:9">
      <c r="A241" s="29">
        <v>45473</v>
      </c>
      <c r="B241">
        <v>1236</v>
      </c>
      <c r="C241" t="s">
        <v>37</v>
      </c>
      <c r="D241" t="s">
        <v>21</v>
      </c>
      <c r="E241" t="s">
        <v>17</v>
      </c>
      <c r="F241">
        <v>15</v>
      </c>
      <c r="G241">
        <v>17.8</v>
      </c>
      <c r="H241">
        <v>9.99</v>
      </c>
      <c r="I241">
        <v>124.13</v>
      </c>
    </row>
    <row r="242" spans="1:9">
      <c r="A242" s="29">
        <v>45539</v>
      </c>
      <c r="B242">
        <v>1237</v>
      </c>
      <c r="C242" t="s">
        <v>32</v>
      </c>
      <c r="D242" t="s">
        <v>21</v>
      </c>
      <c r="E242" t="s">
        <v>14</v>
      </c>
      <c r="F242">
        <v>6</v>
      </c>
      <c r="G242">
        <v>49.01</v>
      </c>
      <c r="H242">
        <v>34.39</v>
      </c>
      <c r="I242">
        <v>197.33</v>
      </c>
    </row>
    <row r="243" spans="1:9">
      <c r="A243" s="30">
        <v>45384</v>
      </c>
      <c r="B243">
        <v>1238</v>
      </c>
      <c r="C243" t="s">
        <v>36</v>
      </c>
      <c r="D243" t="s">
        <v>10</v>
      </c>
      <c r="E243" t="s">
        <v>17</v>
      </c>
      <c r="F243">
        <v>24</v>
      </c>
      <c r="G243">
        <v>95.54</v>
      </c>
      <c r="H243">
        <v>35.47</v>
      </c>
      <c r="I243">
        <v>157.04</v>
      </c>
    </row>
    <row r="244" spans="1:9">
      <c r="A244" s="29">
        <v>45476</v>
      </c>
      <c r="B244">
        <v>1239</v>
      </c>
      <c r="C244" t="s">
        <v>32</v>
      </c>
      <c r="D244" t="s">
        <v>23</v>
      </c>
      <c r="E244" t="s">
        <v>11</v>
      </c>
      <c r="F244">
        <v>23</v>
      </c>
      <c r="G244">
        <v>52.29</v>
      </c>
      <c r="I244">
        <v>64.44</v>
      </c>
    </row>
    <row r="245" spans="2:9">
      <c r="B245">
        <v>1240</v>
      </c>
      <c r="C245" t="s">
        <v>19</v>
      </c>
      <c r="D245" t="s">
        <v>10</v>
      </c>
      <c r="E245" t="s">
        <v>25</v>
      </c>
      <c r="F245">
        <v>12</v>
      </c>
      <c r="G245">
        <v>66.36</v>
      </c>
      <c r="H245">
        <v>21.86</v>
      </c>
      <c r="I245">
        <v>9.14</v>
      </c>
    </row>
    <row r="246" spans="1:9">
      <c r="A246" t="s">
        <v>61</v>
      </c>
      <c r="B246">
        <v>1241</v>
      </c>
      <c r="C246" t="s">
        <v>38</v>
      </c>
      <c r="D246" t="s">
        <v>23</v>
      </c>
      <c r="E246" t="s">
        <v>25</v>
      </c>
      <c r="F246">
        <v>15</v>
      </c>
      <c r="G246">
        <v>50.8</v>
      </c>
      <c r="H246">
        <v>36.91</v>
      </c>
      <c r="I246">
        <v>183.64</v>
      </c>
    </row>
    <row r="247" spans="1:9">
      <c r="A247" s="29">
        <v>45408</v>
      </c>
      <c r="B247">
        <v>1242</v>
      </c>
      <c r="C247" t="s">
        <v>53</v>
      </c>
      <c r="D247" t="s">
        <v>16</v>
      </c>
      <c r="E247" t="s">
        <v>25</v>
      </c>
      <c r="F247">
        <v>25</v>
      </c>
      <c r="G247">
        <v>16.04</v>
      </c>
      <c r="H247">
        <v>6.66</v>
      </c>
      <c r="I247">
        <v>106.95</v>
      </c>
    </row>
    <row r="248" spans="1:9">
      <c r="A248" t="s">
        <v>62</v>
      </c>
      <c r="B248">
        <v>1243</v>
      </c>
      <c r="C248" t="s">
        <v>24</v>
      </c>
      <c r="D248" t="s">
        <v>16</v>
      </c>
      <c r="E248" t="s">
        <v>17</v>
      </c>
      <c r="F248">
        <v>8</v>
      </c>
      <c r="G248">
        <v>63.23</v>
      </c>
      <c r="H248">
        <v>38.75</v>
      </c>
      <c r="I248">
        <v>126.06</v>
      </c>
    </row>
    <row r="249" spans="1:9">
      <c r="A249" s="29">
        <v>45630</v>
      </c>
      <c r="B249">
        <v>1244</v>
      </c>
      <c r="C249" t="s">
        <v>28</v>
      </c>
      <c r="D249" t="s">
        <v>10</v>
      </c>
      <c r="E249" t="s">
        <v>11</v>
      </c>
      <c r="F249">
        <v>25</v>
      </c>
      <c r="G249">
        <v>23.48</v>
      </c>
      <c r="H249">
        <v>9.15</v>
      </c>
      <c r="I249">
        <v>52.6</v>
      </c>
    </row>
    <row r="250" spans="1:9">
      <c r="A250" s="29">
        <v>45395</v>
      </c>
      <c r="B250">
        <v>1245</v>
      </c>
      <c r="C250" t="s">
        <v>52</v>
      </c>
      <c r="D250" t="s">
        <v>16</v>
      </c>
      <c r="E250" t="s">
        <v>17</v>
      </c>
      <c r="F250">
        <v>0</v>
      </c>
      <c r="G250">
        <v>13.38</v>
      </c>
      <c r="H250">
        <v>4.68</v>
      </c>
      <c r="I250">
        <v>114.83</v>
      </c>
    </row>
    <row r="251" spans="1:9">
      <c r="A251" s="30">
        <v>45338</v>
      </c>
      <c r="B251">
        <v>1246</v>
      </c>
      <c r="C251" t="s">
        <v>19</v>
      </c>
      <c r="D251" t="s">
        <v>16</v>
      </c>
      <c r="E251" t="s">
        <v>17</v>
      </c>
      <c r="F251">
        <v>9</v>
      </c>
      <c r="G251">
        <v>40.53</v>
      </c>
      <c r="H251">
        <v>26.99</v>
      </c>
      <c r="I251">
        <v>174.83</v>
      </c>
    </row>
    <row r="252" spans="1:9">
      <c r="A252" s="30">
        <v>45476</v>
      </c>
      <c r="B252">
        <v>1247</v>
      </c>
      <c r="C252" t="s">
        <v>19</v>
      </c>
      <c r="D252" t="s">
        <v>16</v>
      </c>
      <c r="E252" t="s">
        <v>51</v>
      </c>
      <c r="F252">
        <v>4</v>
      </c>
      <c r="G252">
        <v>83.64</v>
      </c>
      <c r="H252">
        <v>38.55</v>
      </c>
      <c r="I252">
        <v>87.54</v>
      </c>
    </row>
    <row r="253" spans="1:9">
      <c r="A253" s="29">
        <v>45339</v>
      </c>
      <c r="B253">
        <v>1248</v>
      </c>
      <c r="C253" t="s">
        <v>35</v>
      </c>
      <c r="D253" t="s">
        <v>23</v>
      </c>
      <c r="E253" t="s">
        <v>17</v>
      </c>
      <c r="F253">
        <v>15</v>
      </c>
      <c r="G253">
        <v>98.39</v>
      </c>
      <c r="H253">
        <v>64.8</v>
      </c>
      <c r="I253">
        <v>22.61</v>
      </c>
    </row>
    <row r="254" spans="1:9">
      <c r="A254" s="30">
        <v>45322</v>
      </c>
      <c r="B254">
        <v>1249</v>
      </c>
      <c r="C254" t="s">
        <v>35</v>
      </c>
      <c r="D254" t="s">
        <v>23</v>
      </c>
      <c r="E254" t="s">
        <v>17</v>
      </c>
      <c r="F254">
        <v>12</v>
      </c>
      <c r="G254">
        <v>96.15</v>
      </c>
      <c r="H254">
        <v>66.17</v>
      </c>
      <c r="I254">
        <v>175.99</v>
      </c>
    </row>
    <row r="255" spans="1:9">
      <c r="A255" s="29">
        <v>45358</v>
      </c>
      <c r="B255">
        <v>1250</v>
      </c>
      <c r="C255" t="s">
        <v>27</v>
      </c>
      <c r="D255" t="s">
        <v>23</v>
      </c>
      <c r="E255" t="s">
        <v>46</v>
      </c>
      <c r="F255">
        <v>21</v>
      </c>
      <c r="G255">
        <v>68.68</v>
      </c>
      <c r="H255">
        <v>42.97</v>
      </c>
      <c r="I255">
        <v>44.8</v>
      </c>
    </row>
    <row r="256" spans="1:9">
      <c r="A256" t="s">
        <v>63</v>
      </c>
      <c r="B256">
        <v>1251</v>
      </c>
      <c r="C256" t="s">
        <v>28</v>
      </c>
      <c r="D256" t="s">
        <v>16</v>
      </c>
      <c r="E256" t="s">
        <v>17</v>
      </c>
      <c r="F256">
        <v>21</v>
      </c>
      <c r="G256">
        <v>81.27</v>
      </c>
      <c r="H256">
        <v>54.61</v>
      </c>
      <c r="I256">
        <v>178.41</v>
      </c>
    </row>
    <row r="257" spans="1:9">
      <c r="A257" s="29">
        <v>45444</v>
      </c>
      <c r="B257">
        <v>1252</v>
      </c>
      <c r="C257" t="s">
        <v>33</v>
      </c>
      <c r="D257" t="s">
        <v>23</v>
      </c>
      <c r="E257" t="s">
        <v>11</v>
      </c>
      <c r="F257">
        <v>10</v>
      </c>
      <c r="G257">
        <v>38.02</v>
      </c>
      <c r="H257">
        <v>12.27</v>
      </c>
      <c r="I257">
        <v>44.54</v>
      </c>
    </row>
    <row r="258" spans="1:9">
      <c r="A258" s="30">
        <v>45498</v>
      </c>
      <c r="B258">
        <v>1253</v>
      </c>
      <c r="C258" t="s">
        <v>12</v>
      </c>
      <c r="D258" t="s">
        <v>23</v>
      </c>
      <c r="E258" t="s">
        <v>25</v>
      </c>
      <c r="F258">
        <v>15</v>
      </c>
      <c r="G258">
        <v>92.49</v>
      </c>
      <c r="I258">
        <v>80.69</v>
      </c>
    </row>
    <row r="259" spans="1:9">
      <c r="A259" s="29">
        <v>45573</v>
      </c>
      <c r="B259">
        <v>1254</v>
      </c>
      <c r="C259" t="s">
        <v>28</v>
      </c>
      <c r="D259" t="s">
        <v>21</v>
      </c>
      <c r="E259" t="s">
        <v>17</v>
      </c>
      <c r="F259">
        <v>11</v>
      </c>
      <c r="G259">
        <v>101.13</v>
      </c>
      <c r="H259">
        <v>68.76</v>
      </c>
      <c r="I259">
        <v>66.39</v>
      </c>
    </row>
    <row r="260" spans="1:9">
      <c r="A260" s="29">
        <v>45599</v>
      </c>
      <c r="B260">
        <v>1255</v>
      </c>
      <c r="C260" t="s">
        <v>20</v>
      </c>
      <c r="D260" t="s">
        <v>23</v>
      </c>
      <c r="E260" t="s">
        <v>64</v>
      </c>
      <c r="F260">
        <v>11</v>
      </c>
      <c r="G260">
        <v>101.63</v>
      </c>
      <c r="H260">
        <v>43.84</v>
      </c>
      <c r="I260">
        <v>104.4</v>
      </c>
    </row>
    <row r="261" spans="1:9">
      <c r="A261" s="30">
        <v>45315</v>
      </c>
      <c r="B261">
        <v>1256</v>
      </c>
      <c r="C261" t="s">
        <v>45</v>
      </c>
      <c r="D261" t="s">
        <v>23</v>
      </c>
      <c r="E261" t="s">
        <v>14</v>
      </c>
      <c r="F261">
        <v>12</v>
      </c>
      <c r="G261">
        <v>35.28</v>
      </c>
      <c r="H261">
        <v>13.61</v>
      </c>
      <c r="I261">
        <v>67.59</v>
      </c>
    </row>
    <row r="262" spans="1:9">
      <c r="A262" s="30">
        <v>45315</v>
      </c>
      <c r="B262">
        <v>1257</v>
      </c>
      <c r="C262" t="s">
        <v>31</v>
      </c>
      <c r="D262" t="s">
        <v>16</v>
      </c>
      <c r="E262" t="s">
        <v>14</v>
      </c>
      <c r="F262">
        <v>0</v>
      </c>
      <c r="G262">
        <v>69.28</v>
      </c>
      <c r="H262">
        <v>49.94</v>
      </c>
      <c r="I262">
        <v>167.76</v>
      </c>
    </row>
    <row r="263" spans="1:9">
      <c r="A263" s="30">
        <v>45552</v>
      </c>
      <c r="B263">
        <v>1258</v>
      </c>
      <c r="C263" t="s">
        <v>20</v>
      </c>
      <c r="D263" t="s">
        <v>10</v>
      </c>
      <c r="E263" t="s">
        <v>17</v>
      </c>
      <c r="F263">
        <v>19</v>
      </c>
      <c r="G263">
        <v>107.33</v>
      </c>
      <c r="H263">
        <v>50.78</v>
      </c>
      <c r="I263">
        <v>195.9</v>
      </c>
    </row>
    <row r="264" spans="1:9">
      <c r="A264" s="29">
        <v>45419</v>
      </c>
      <c r="B264">
        <v>1259</v>
      </c>
      <c r="C264" t="s">
        <v>47</v>
      </c>
      <c r="D264" t="s">
        <v>23</v>
      </c>
      <c r="E264" t="s">
        <v>25</v>
      </c>
      <c r="F264">
        <v>17</v>
      </c>
      <c r="G264">
        <v>104.96</v>
      </c>
      <c r="H264">
        <v>75.67</v>
      </c>
      <c r="I264">
        <v>126.52</v>
      </c>
    </row>
    <row r="265" spans="1:9">
      <c r="A265" t="s">
        <v>65</v>
      </c>
      <c r="B265">
        <v>1260</v>
      </c>
      <c r="C265" t="s">
        <v>49</v>
      </c>
      <c r="D265" t="s">
        <v>10</v>
      </c>
      <c r="E265" t="s">
        <v>14</v>
      </c>
      <c r="F265">
        <v>22</v>
      </c>
      <c r="G265">
        <v>80.78</v>
      </c>
      <c r="H265">
        <v>51.89</v>
      </c>
      <c r="I265">
        <v>112.46</v>
      </c>
    </row>
    <row r="266" spans="1:9">
      <c r="A266" s="29">
        <v>45299</v>
      </c>
      <c r="B266">
        <v>1261</v>
      </c>
      <c r="C266" t="s">
        <v>29</v>
      </c>
      <c r="D266" t="s">
        <v>21</v>
      </c>
      <c r="E266" t="s">
        <v>11</v>
      </c>
      <c r="F266">
        <v>0</v>
      </c>
      <c r="G266">
        <v>53.13</v>
      </c>
      <c r="H266">
        <v>17.29</v>
      </c>
      <c r="I266">
        <v>53.4</v>
      </c>
    </row>
    <row r="267" spans="1:9">
      <c r="A267" t="s">
        <v>66</v>
      </c>
      <c r="B267">
        <v>1262</v>
      </c>
      <c r="C267" t="s">
        <v>39</v>
      </c>
      <c r="D267" t="s">
        <v>21</v>
      </c>
      <c r="E267" t="s">
        <v>25</v>
      </c>
      <c r="F267">
        <v>3</v>
      </c>
      <c r="G267">
        <v>78.54</v>
      </c>
      <c r="H267">
        <v>43.42</v>
      </c>
      <c r="I267">
        <v>44.86</v>
      </c>
    </row>
    <row r="268" spans="1:9">
      <c r="A268" s="29">
        <v>45491</v>
      </c>
      <c r="B268">
        <v>1263</v>
      </c>
      <c r="C268" t="s">
        <v>15</v>
      </c>
      <c r="D268" t="s">
        <v>21</v>
      </c>
      <c r="E268" t="s">
        <v>17</v>
      </c>
      <c r="F268">
        <v>25</v>
      </c>
      <c r="G268">
        <v>117.39</v>
      </c>
      <c r="H268">
        <v>64.38</v>
      </c>
      <c r="I268">
        <v>2.59</v>
      </c>
    </row>
    <row r="269" spans="1:9">
      <c r="A269" s="30">
        <v>45609</v>
      </c>
      <c r="B269">
        <v>1264</v>
      </c>
      <c r="C269" t="s">
        <v>12</v>
      </c>
      <c r="D269" t="s">
        <v>10</v>
      </c>
      <c r="E269" t="s">
        <v>25</v>
      </c>
      <c r="F269">
        <v>17</v>
      </c>
      <c r="G269">
        <v>91.75</v>
      </c>
      <c r="H269">
        <v>57.45</v>
      </c>
      <c r="I269">
        <v>38.7</v>
      </c>
    </row>
    <row r="270" spans="1:9">
      <c r="A270" s="29">
        <v>45330</v>
      </c>
      <c r="B270">
        <v>1265</v>
      </c>
      <c r="C270" t="s">
        <v>26</v>
      </c>
      <c r="D270" t="s">
        <v>16</v>
      </c>
      <c r="E270" t="s">
        <v>25</v>
      </c>
      <c r="F270">
        <v>18</v>
      </c>
      <c r="G270">
        <v>103.37</v>
      </c>
      <c r="I270">
        <v>93.27</v>
      </c>
    </row>
    <row r="271" spans="1:9">
      <c r="A271" s="29">
        <v>45312</v>
      </c>
      <c r="B271">
        <v>1266</v>
      </c>
      <c r="C271" t="s">
        <v>39</v>
      </c>
      <c r="D271" t="s">
        <v>21</v>
      </c>
      <c r="E271" t="s">
        <v>25</v>
      </c>
      <c r="F271">
        <v>22</v>
      </c>
      <c r="G271">
        <v>46.33</v>
      </c>
      <c r="H271">
        <v>17.73</v>
      </c>
      <c r="I271">
        <v>13.64</v>
      </c>
    </row>
    <row r="272" spans="1:9">
      <c r="A272" t="s">
        <v>67</v>
      </c>
      <c r="B272">
        <v>1267</v>
      </c>
      <c r="C272" t="s">
        <v>43</v>
      </c>
      <c r="D272" t="s">
        <v>10</v>
      </c>
      <c r="E272" t="s">
        <v>25</v>
      </c>
      <c r="F272">
        <v>6</v>
      </c>
      <c r="G272">
        <v>114.63</v>
      </c>
      <c r="H272">
        <v>58.88</v>
      </c>
      <c r="I272">
        <v>112.27</v>
      </c>
    </row>
    <row r="273" spans="1:9">
      <c r="A273" s="29">
        <v>45624</v>
      </c>
      <c r="B273">
        <v>1268</v>
      </c>
      <c r="C273" t="s">
        <v>12</v>
      </c>
      <c r="D273" t="s">
        <v>10</v>
      </c>
      <c r="E273" t="s">
        <v>14</v>
      </c>
      <c r="F273">
        <v>21</v>
      </c>
      <c r="G273">
        <v>107.65</v>
      </c>
      <c r="H273">
        <v>70.87</v>
      </c>
      <c r="I273">
        <v>22.67</v>
      </c>
    </row>
    <row r="274" spans="1:9">
      <c r="A274" s="29">
        <v>45436</v>
      </c>
      <c r="B274">
        <v>1269</v>
      </c>
      <c r="C274" t="s">
        <v>41</v>
      </c>
      <c r="D274" t="s">
        <v>21</v>
      </c>
      <c r="E274" t="s">
        <v>17</v>
      </c>
      <c r="F274">
        <v>20</v>
      </c>
      <c r="G274">
        <v>32.79</v>
      </c>
      <c r="H274">
        <v>23.83</v>
      </c>
      <c r="I274">
        <v>33.48</v>
      </c>
    </row>
    <row r="275" spans="1:9">
      <c r="A275" s="29">
        <v>45332</v>
      </c>
      <c r="B275">
        <v>1270</v>
      </c>
      <c r="C275" t="s">
        <v>53</v>
      </c>
      <c r="D275" t="s">
        <v>10</v>
      </c>
      <c r="E275" t="s">
        <v>11</v>
      </c>
      <c r="F275">
        <v>22</v>
      </c>
      <c r="G275">
        <v>106.89</v>
      </c>
      <c r="H275">
        <v>53</v>
      </c>
      <c r="I275">
        <v>163.35</v>
      </c>
    </row>
    <row r="276" spans="1:9">
      <c r="A276" s="29">
        <v>45370</v>
      </c>
      <c r="B276">
        <v>1271</v>
      </c>
      <c r="C276" t="s">
        <v>39</v>
      </c>
      <c r="D276" t="s">
        <v>16</v>
      </c>
      <c r="E276" t="s">
        <v>25</v>
      </c>
      <c r="F276">
        <v>18</v>
      </c>
      <c r="G276">
        <v>100.73</v>
      </c>
      <c r="H276">
        <v>48.7</v>
      </c>
      <c r="I276">
        <v>90.23</v>
      </c>
    </row>
    <row r="277" spans="1:9">
      <c r="A277" s="29">
        <v>45453</v>
      </c>
      <c r="B277">
        <v>1272</v>
      </c>
      <c r="C277" t="s">
        <v>29</v>
      </c>
      <c r="D277" t="s">
        <v>16</v>
      </c>
      <c r="E277" t="s">
        <v>11</v>
      </c>
      <c r="F277">
        <v>2</v>
      </c>
      <c r="G277">
        <v>50.63</v>
      </c>
      <c r="H277">
        <v>21.79</v>
      </c>
      <c r="I277">
        <v>137.18</v>
      </c>
    </row>
    <row r="278" spans="1:9">
      <c r="A278" s="30">
        <v>45436</v>
      </c>
      <c r="B278">
        <v>1273</v>
      </c>
      <c r="C278" t="s">
        <v>32</v>
      </c>
      <c r="D278" t="s">
        <v>16</v>
      </c>
      <c r="E278" t="s">
        <v>14</v>
      </c>
      <c r="F278">
        <v>25</v>
      </c>
      <c r="G278">
        <v>98.13</v>
      </c>
      <c r="H278">
        <v>71.84</v>
      </c>
      <c r="I278">
        <v>28.82</v>
      </c>
    </row>
    <row r="279" spans="1:9">
      <c r="A279" s="29">
        <v>45623</v>
      </c>
      <c r="B279">
        <v>1274</v>
      </c>
      <c r="C279" t="s">
        <v>29</v>
      </c>
      <c r="D279" t="s">
        <v>30</v>
      </c>
      <c r="E279" t="s">
        <v>17</v>
      </c>
      <c r="F279">
        <v>2</v>
      </c>
      <c r="G279">
        <v>44.91</v>
      </c>
      <c r="H279">
        <v>31.73</v>
      </c>
      <c r="I279">
        <v>68.77</v>
      </c>
    </row>
    <row r="280" spans="1:9">
      <c r="A280" s="30">
        <v>45622</v>
      </c>
      <c r="B280">
        <v>1275</v>
      </c>
      <c r="C280" t="s">
        <v>52</v>
      </c>
      <c r="D280" t="s">
        <v>10</v>
      </c>
      <c r="E280" t="s">
        <v>11</v>
      </c>
      <c r="F280">
        <v>25</v>
      </c>
      <c r="G280">
        <v>73.27</v>
      </c>
      <c r="H280">
        <v>46.74</v>
      </c>
      <c r="I280">
        <v>198.02</v>
      </c>
    </row>
    <row r="281" spans="1:9">
      <c r="A281" t="s">
        <v>68</v>
      </c>
      <c r="B281">
        <v>1276</v>
      </c>
      <c r="C281" t="s">
        <v>18</v>
      </c>
      <c r="D281" t="s">
        <v>21</v>
      </c>
      <c r="E281" t="s">
        <v>17</v>
      </c>
      <c r="F281">
        <v>11</v>
      </c>
      <c r="G281">
        <v>25.85</v>
      </c>
      <c r="H281">
        <v>8.92</v>
      </c>
      <c r="I281">
        <v>123.9</v>
      </c>
    </row>
    <row r="282" spans="1:9">
      <c r="A282" s="29">
        <v>45454</v>
      </c>
      <c r="B282">
        <v>1277</v>
      </c>
      <c r="C282" t="s">
        <v>34</v>
      </c>
      <c r="D282" t="s">
        <v>21</v>
      </c>
      <c r="E282" t="s">
        <v>25</v>
      </c>
      <c r="F282">
        <v>13</v>
      </c>
      <c r="G282">
        <v>30.21</v>
      </c>
      <c r="H282">
        <v>19.74</v>
      </c>
      <c r="I282">
        <v>142.44</v>
      </c>
    </row>
    <row r="283" spans="1:9">
      <c r="A283" s="30">
        <v>45433</v>
      </c>
      <c r="B283">
        <v>1278</v>
      </c>
      <c r="C283" t="s">
        <v>19</v>
      </c>
      <c r="D283" t="s">
        <v>21</v>
      </c>
      <c r="E283" t="s">
        <v>25</v>
      </c>
      <c r="F283">
        <v>15</v>
      </c>
      <c r="G283">
        <v>71.58</v>
      </c>
      <c r="H283">
        <v>41.01</v>
      </c>
      <c r="I283">
        <v>168.36</v>
      </c>
    </row>
    <row r="284" spans="1:9">
      <c r="A284" s="30">
        <v>45363</v>
      </c>
      <c r="B284">
        <v>1279</v>
      </c>
      <c r="C284" t="s">
        <v>19</v>
      </c>
      <c r="D284" t="s">
        <v>16</v>
      </c>
      <c r="E284" t="s">
        <v>11</v>
      </c>
      <c r="F284">
        <v>18</v>
      </c>
      <c r="G284">
        <v>55.75</v>
      </c>
      <c r="H284">
        <v>39.46</v>
      </c>
      <c r="I284">
        <v>110.32</v>
      </c>
    </row>
    <row r="285" spans="1:9">
      <c r="A285" s="29">
        <v>45568</v>
      </c>
      <c r="B285">
        <v>1280</v>
      </c>
      <c r="C285" t="s">
        <v>43</v>
      </c>
      <c r="D285" t="s">
        <v>23</v>
      </c>
      <c r="E285" t="s">
        <v>25</v>
      </c>
      <c r="F285">
        <v>16</v>
      </c>
      <c r="G285">
        <v>67.12</v>
      </c>
      <c r="H285">
        <v>35.3</v>
      </c>
      <c r="I285">
        <v>132.54</v>
      </c>
    </row>
    <row r="286" spans="1:9">
      <c r="A286" s="29">
        <v>45576</v>
      </c>
      <c r="B286">
        <v>1281</v>
      </c>
      <c r="C286" t="s">
        <v>22</v>
      </c>
      <c r="D286" t="s">
        <v>23</v>
      </c>
      <c r="E286" t="s">
        <v>14</v>
      </c>
      <c r="F286">
        <v>15</v>
      </c>
      <c r="G286">
        <v>113.43</v>
      </c>
      <c r="H286">
        <v>72.9</v>
      </c>
      <c r="I286">
        <v>46.35</v>
      </c>
    </row>
    <row r="287" spans="1:9">
      <c r="A287" s="29">
        <v>45411</v>
      </c>
      <c r="B287">
        <v>1282</v>
      </c>
      <c r="C287" t="s">
        <v>49</v>
      </c>
      <c r="D287" t="s">
        <v>21</v>
      </c>
      <c r="E287" t="s">
        <v>11</v>
      </c>
      <c r="F287">
        <v>20</v>
      </c>
      <c r="G287">
        <v>47</v>
      </c>
      <c r="H287">
        <v>25.13</v>
      </c>
      <c r="I287">
        <v>165.93</v>
      </c>
    </row>
    <row r="288" spans="1:9">
      <c r="A288" t="s">
        <v>69</v>
      </c>
      <c r="B288">
        <v>1283</v>
      </c>
      <c r="C288" t="s">
        <v>32</v>
      </c>
      <c r="D288" t="s">
        <v>23</v>
      </c>
      <c r="E288" t="s">
        <v>11</v>
      </c>
      <c r="F288">
        <v>12</v>
      </c>
      <c r="G288">
        <v>117.05</v>
      </c>
      <c r="H288">
        <v>56.49</v>
      </c>
      <c r="I288">
        <v>163.45</v>
      </c>
    </row>
    <row r="289" spans="2:9">
      <c r="B289">
        <v>1284</v>
      </c>
      <c r="C289" t="s">
        <v>27</v>
      </c>
      <c r="D289" t="s">
        <v>10</v>
      </c>
      <c r="E289" t="s">
        <v>25</v>
      </c>
      <c r="F289">
        <v>5</v>
      </c>
      <c r="G289">
        <v>28.99</v>
      </c>
      <c r="H289">
        <v>19.35</v>
      </c>
      <c r="I289">
        <v>132.22</v>
      </c>
    </row>
    <row r="290" spans="1:9">
      <c r="A290" t="s">
        <v>70</v>
      </c>
      <c r="B290">
        <v>1285</v>
      </c>
      <c r="C290" t="s">
        <v>44</v>
      </c>
      <c r="D290" t="s">
        <v>23</v>
      </c>
      <c r="E290" t="s">
        <v>71</v>
      </c>
      <c r="F290">
        <v>1</v>
      </c>
      <c r="G290">
        <v>25.81</v>
      </c>
      <c r="H290">
        <v>9.31</v>
      </c>
      <c r="I290">
        <v>102.53</v>
      </c>
    </row>
    <row r="291" spans="1:9">
      <c r="A291" s="29">
        <v>45367</v>
      </c>
      <c r="B291">
        <v>1286</v>
      </c>
      <c r="C291" t="s">
        <v>52</v>
      </c>
      <c r="D291" t="s">
        <v>23</v>
      </c>
      <c r="E291" t="s">
        <v>11</v>
      </c>
      <c r="F291">
        <v>23</v>
      </c>
      <c r="G291">
        <v>83.47</v>
      </c>
      <c r="H291">
        <v>28.26</v>
      </c>
      <c r="I291">
        <v>89.84</v>
      </c>
    </row>
    <row r="292" spans="1:9">
      <c r="A292" s="29">
        <v>45538</v>
      </c>
      <c r="B292">
        <v>1287</v>
      </c>
      <c r="C292" t="s">
        <v>28</v>
      </c>
      <c r="D292" t="s">
        <v>10</v>
      </c>
      <c r="E292" t="s">
        <v>14</v>
      </c>
      <c r="F292">
        <v>16</v>
      </c>
      <c r="G292">
        <v>40.57</v>
      </c>
      <c r="H292">
        <v>18.43</v>
      </c>
      <c r="I292">
        <v>90.69</v>
      </c>
    </row>
    <row r="293" spans="1:9">
      <c r="A293" s="29">
        <v>45409</v>
      </c>
      <c r="B293">
        <v>1288</v>
      </c>
      <c r="C293" t="s">
        <v>24</v>
      </c>
      <c r="D293" t="s">
        <v>10</v>
      </c>
      <c r="E293" t="s">
        <v>17</v>
      </c>
      <c r="F293">
        <v>19</v>
      </c>
      <c r="G293">
        <v>22.4</v>
      </c>
      <c r="H293">
        <v>12.92</v>
      </c>
      <c r="I293">
        <v>7.81</v>
      </c>
    </row>
    <row r="294" spans="1:9">
      <c r="A294" s="30">
        <v>45549</v>
      </c>
      <c r="B294">
        <v>1289</v>
      </c>
      <c r="C294" t="s">
        <v>34</v>
      </c>
      <c r="D294" t="s">
        <v>10</v>
      </c>
      <c r="E294" t="s">
        <v>11</v>
      </c>
      <c r="F294">
        <v>24</v>
      </c>
      <c r="G294">
        <v>85.28</v>
      </c>
      <c r="H294">
        <v>41.73</v>
      </c>
      <c r="I294">
        <v>174.96</v>
      </c>
    </row>
    <row r="295" spans="1:9">
      <c r="A295" s="29">
        <v>45511</v>
      </c>
      <c r="B295">
        <v>1290</v>
      </c>
      <c r="C295" t="s">
        <v>15</v>
      </c>
      <c r="D295" t="s">
        <v>23</v>
      </c>
      <c r="E295" t="s">
        <v>11</v>
      </c>
      <c r="F295">
        <v>8</v>
      </c>
      <c r="G295">
        <v>63.53</v>
      </c>
      <c r="H295">
        <v>43.62</v>
      </c>
      <c r="I295">
        <v>56.65</v>
      </c>
    </row>
    <row r="296" spans="2:9">
      <c r="B296">
        <v>1291</v>
      </c>
      <c r="C296" t="s">
        <v>19</v>
      </c>
      <c r="D296" t="s">
        <v>16</v>
      </c>
      <c r="E296" t="s">
        <v>11</v>
      </c>
      <c r="F296">
        <v>6</v>
      </c>
      <c r="G296">
        <v>86.28</v>
      </c>
      <c r="H296">
        <v>39.95</v>
      </c>
      <c r="I296">
        <v>30.96</v>
      </c>
    </row>
    <row r="297" spans="1:9">
      <c r="A297" s="29">
        <v>45421</v>
      </c>
      <c r="B297">
        <v>1292</v>
      </c>
      <c r="C297" t="s">
        <v>31</v>
      </c>
      <c r="D297" t="s">
        <v>21</v>
      </c>
      <c r="E297" t="s">
        <v>17</v>
      </c>
      <c r="F297">
        <v>13</v>
      </c>
      <c r="G297">
        <v>71.63</v>
      </c>
      <c r="H297">
        <v>27.25</v>
      </c>
      <c r="I297">
        <v>111.82</v>
      </c>
    </row>
    <row r="298" spans="1:9">
      <c r="A298" s="29">
        <v>45449</v>
      </c>
      <c r="B298">
        <v>1293</v>
      </c>
      <c r="C298" t="s">
        <v>32</v>
      </c>
      <c r="D298" t="s">
        <v>10</v>
      </c>
      <c r="E298" t="s">
        <v>14</v>
      </c>
      <c r="F298">
        <v>22</v>
      </c>
      <c r="G298">
        <v>114.52</v>
      </c>
      <c r="H298">
        <v>60.55</v>
      </c>
      <c r="I298">
        <v>157.22</v>
      </c>
    </row>
    <row r="299" spans="1:9">
      <c r="A299" s="29">
        <v>45576</v>
      </c>
      <c r="B299">
        <v>1294</v>
      </c>
      <c r="C299" t="s">
        <v>52</v>
      </c>
      <c r="D299" t="s">
        <v>58</v>
      </c>
      <c r="E299" t="s">
        <v>11</v>
      </c>
      <c r="F299">
        <v>15</v>
      </c>
      <c r="G299">
        <v>111.99</v>
      </c>
      <c r="H299">
        <v>36.83</v>
      </c>
      <c r="I299">
        <v>44.35</v>
      </c>
    </row>
    <row r="300" spans="1:9">
      <c r="A300" t="s">
        <v>72</v>
      </c>
      <c r="B300">
        <v>1295</v>
      </c>
      <c r="C300" t="s">
        <v>32</v>
      </c>
      <c r="D300" t="s">
        <v>21</v>
      </c>
      <c r="E300" t="s">
        <v>14</v>
      </c>
      <c r="F300">
        <v>14</v>
      </c>
      <c r="G300">
        <v>13.16</v>
      </c>
      <c r="H300">
        <v>9.46</v>
      </c>
      <c r="I300">
        <v>103.63</v>
      </c>
    </row>
    <row r="301" spans="1:9">
      <c r="A301" s="29">
        <v>45333</v>
      </c>
      <c r="B301">
        <v>1296</v>
      </c>
      <c r="C301" t="s">
        <v>28</v>
      </c>
      <c r="D301" t="s">
        <v>10</v>
      </c>
      <c r="E301" t="s">
        <v>11</v>
      </c>
      <c r="F301">
        <v>2</v>
      </c>
      <c r="G301">
        <v>119.66</v>
      </c>
      <c r="H301">
        <v>54.91</v>
      </c>
      <c r="I301">
        <v>79.03</v>
      </c>
    </row>
    <row r="303" spans="1:9">
      <c r="A303" s="29">
        <v>45557</v>
      </c>
      <c r="B303">
        <v>1297</v>
      </c>
      <c r="C303" t="s">
        <v>49</v>
      </c>
      <c r="D303" t="s">
        <v>16</v>
      </c>
      <c r="E303" t="s">
        <v>25</v>
      </c>
      <c r="F303">
        <v>8</v>
      </c>
      <c r="G303">
        <v>36.44</v>
      </c>
      <c r="H303">
        <v>18.39</v>
      </c>
      <c r="I303">
        <v>80.79</v>
      </c>
    </row>
    <row r="304" spans="1:9">
      <c r="A304" s="29">
        <v>45381</v>
      </c>
      <c r="B304">
        <v>1298</v>
      </c>
      <c r="C304" t="s">
        <v>18</v>
      </c>
      <c r="D304" t="s">
        <v>21</v>
      </c>
      <c r="E304" t="s">
        <v>25</v>
      </c>
      <c r="F304">
        <v>25</v>
      </c>
      <c r="G304">
        <v>74.09</v>
      </c>
      <c r="H304">
        <v>54.44</v>
      </c>
      <c r="I304">
        <v>112.63</v>
      </c>
    </row>
    <row r="305" spans="1:9">
      <c r="A305" s="30">
        <v>45465</v>
      </c>
      <c r="B305">
        <v>1299</v>
      </c>
      <c r="C305" t="s">
        <v>12</v>
      </c>
      <c r="D305" t="s">
        <v>16</v>
      </c>
      <c r="E305" t="s">
        <v>17</v>
      </c>
      <c r="F305">
        <v>7</v>
      </c>
      <c r="G305">
        <v>85.11</v>
      </c>
      <c r="H305">
        <v>37.63</v>
      </c>
      <c r="I305">
        <v>191.09</v>
      </c>
    </row>
    <row r="306" spans="1:9">
      <c r="A306" s="29">
        <v>45413</v>
      </c>
      <c r="B306">
        <v>1300</v>
      </c>
      <c r="C306" t="s">
        <v>47</v>
      </c>
      <c r="D306" t="s">
        <v>16</v>
      </c>
      <c r="E306" t="s">
        <v>25</v>
      </c>
      <c r="F306">
        <v>5</v>
      </c>
      <c r="G306">
        <v>63.47</v>
      </c>
      <c r="H306">
        <v>44.58</v>
      </c>
      <c r="I306">
        <v>53.82</v>
      </c>
    </row>
    <row r="307" spans="1:9">
      <c r="A307" s="29">
        <v>45528</v>
      </c>
      <c r="B307">
        <v>1204</v>
      </c>
      <c r="C307" t="s">
        <v>35</v>
      </c>
      <c r="D307" t="s">
        <v>16</v>
      </c>
      <c r="E307" t="s">
        <v>14</v>
      </c>
      <c r="F307">
        <v>12</v>
      </c>
      <c r="G307">
        <v>52.2</v>
      </c>
      <c r="H307">
        <v>30.8</v>
      </c>
      <c r="I307">
        <v>116.46</v>
      </c>
    </row>
    <row r="308" spans="1:9">
      <c r="A308" s="30">
        <v>45305</v>
      </c>
      <c r="B308">
        <v>1189</v>
      </c>
      <c r="C308" t="s">
        <v>47</v>
      </c>
      <c r="D308" t="s">
        <v>10</v>
      </c>
      <c r="E308" t="s">
        <v>17</v>
      </c>
      <c r="F308">
        <v>1</v>
      </c>
      <c r="G308">
        <v>96.65</v>
      </c>
      <c r="H308">
        <v>39.4</v>
      </c>
      <c r="I308">
        <v>77.18</v>
      </c>
    </row>
    <row r="309" spans="1:9">
      <c r="A309" s="29">
        <v>45476</v>
      </c>
      <c r="B309">
        <v>1219</v>
      </c>
      <c r="C309" t="s">
        <v>45</v>
      </c>
      <c r="D309" t="s">
        <v>58</v>
      </c>
      <c r="E309" t="s">
        <v>14</v>
      </c>
      <c r="F309">
        <v>2</v>
      </c>
      <c r="G309">
        <v>63.15</v>
      </c>
      <c r="H309">
        <v>41.25</v>
      </c>
      <c r="I309">
        <v>94.19</v>
      </c>
    </row>
    <row r="310" spans="1:9">
      <c r="A310" s="30">
        <v>45488</v>
      </c>
      <c r="B310">
        <v>1176</v>
      </c>
      <c r="C310" t="s">
        <v>44</v>
      </c>
      <c r="D310" t="s">
        <v>23</v>
      </c>
      <c r="E310" t="s">
        <v>17</v>
      </c>
      <c r="F310">
        <v>2</v>
      </c>
      <c r="G310">
        <v>73.06</v>
      </c>
      <c r="H310">
        <v>29.17</v>
      </c>
      <c r="I310">
        <v>6.54</v>
      </c>
    </row>
    <row r="311" spans="1:9">
      <c r="A311" s="30">
        <v>45315</v>
      </c>
      <c r="B311">
        <v>1257</v>
      </c>
      <c r="C311" t="s">
        <v>31</v>
      </c>
      <c r="D311" t="s">
        <v>16</v>
      </c>
      <c r="E311" t="s">
        <v>14</v>
      </c>
      <c r="F311">
        <v>0</v>
      </c>
      <c r="G311">
        <v>69.28</v>
      </c>
      <c r="H311">
        <v>49.94</v>
      </c>
      <c r="I311">
        <v>167.76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4"/>
  <sheetViews>
    <sheetView tabSelected="1" zoomScale="74" zoomScaleNormal="74" workbookViewId="0">
      <selection activeCell="Q10" sqref="Q10"/>
    </sheetView>
  </sheetViews>
  <sheetFormatPr defaultColWidth="8.4375" defaultRowHeight="16.8"/>
  <cols>
    <col min="1" max="1" width="18.875" customWidth="1"/>
    <col min="2" max="2" width="13.8046875" style="26" customWidth="1"/>
    <col min="4" max="4" width="11.9765625" customWidth="1"/>
    <col min="5" max="5" width="14.1953125" customWidth="1"/>
    <col min="6" max="6" width="12.1015625" customWidth="1"/>
    <col min="7" max="7" width="16.140625" customWidth="1"/>
    <col min="8" max="8" width="14.1875" customWidth="1"/>
    <col min="9" max="9" width="12.8828125" customWidth="1"/>
    <col min="10" max="10" width="22.1328125" customWidth="1"/>
    <col min="11" max="11" width="10.5"/>
    <col min="12" max="12" width="9.5"/>
    <col min="13" max="13" width="10.546875" customWidth="1"/>
    <col min="14" max="15" width="12.6875"/>
    <col min="18" max="18" width="9.5"/>
  </cols>
  <sheetData>
    <row r="1" spans="1:18">
      <c r="A1" s="4" t="s">
        <v>73</v>
      </c>
      <c r="B1" s="27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74</v>
      </c>
      <c r="L1" s="4" t="s">
        <v>75</v>
      </c>
      <c r="M1" s="4" t="s">
        <v>76</v>
      </c>
      <c r="N1" s="4" t="s">
        <v>77</v>
      </c>
      <c r="O1" s="4" t="s">
        <v>78</v>
      </c>
      <c r="Q1" s="4"/>
      <c r="R1" s="4"/>
    </row>
    <row r="2" spans="1:17">
      <c r="A2" s="28">
        <v>45619</v>
      </c>
      <c r="B2" s="27">
        <v>45619</v>
      </c>
      <c r="C2" s="4">
        <v>1001</v>
      </c>
      <c r="D2" s="4" t="s">
        <v>9</v>
      </c>
      <c r="E2" s="4" t="s">
        <v>10</v>
      </c>
      <c r="F2" s="4" t="s">
        <v>11</v>
      </c>
      <c r="G2" s="4">
        <v>1</v>
      </c>
      <c r="H2" s="4">
        <v>15.22</v>
      </c>
      <c r="I2" s="4">
        <v>8.03</v>
      </c>
      <c r="J2" s="4">
        <v>5.31</v>
      </c>
      <c r="K2" s="4">
        <f>G2*H2</f>
        <v>15.22</v>
      </c>
      <c r="L2" s="4">
        <f>I2*G2</f>
        <v>8.03</v>
      </c>
      <c r="M2" s="4">
        <f>K2-L2</f>
        <v>7.19</v>
      </c>
      <c r="N2" s="4">
        <f>M2/K2*100</f>
        <v>47.2404730617608</v>
      </c>
      <c r="O2" s="4" t="str">
        <f>TEXT(A2,"YYYY-MM")</f>
        <v>2024-11</v>
      </c>
      <c r="Q2" s="4"/>
    </row>
    <row r="3" spans="1:15">
      <c r="A3" s="28">
        <v>45624</v>
      </c>
      <c r="B3" s="27">
        <v>45624</v>
      </c>
      <c r="C3" s="4">
        <v>1002</v>
      </c>
      <c r="D3" s="4" t="s">
        <v>12</v>
      </c>
      <c r="E3" s="4" t="s">
        <v>21</v>
      </c>
      <c r="F3" s="4" t="s">
        <v>14</v>
      </c>
      <c r="G3" s="4">
        <v>10</v>
      </c>
      <c r="H3" s="4">
        <v>42.01</v>
      </c>
      <c r="I3" s="4">
        <v>27.04</v>
      </c>
      <c r="J3" s="4">
        <v>20.44</v>
      </c>
      <c r="K3" s="4">
        <f t="shared" ref="K3:K66" si="0">G3*H3</f>
        <v>420.1</v>
      </c>
      <c r="L3" s="4">
        <f t="shared" ref="L3:L66" si="1">I3*G3</f>
        <v>270.4</v>
      </c>
      <c r="M3" s="4">
        <f t="shared" ref="M3:M66" si="2">K3-L3</f>
        <v>149.7</v>
      </c>
      <c r="N3" s="4">
        <f t="shared" ref="N3:N66" si="3">M3/K3*100</f>
        <v>35.6343727683885</v>
      </c>
      <c r="O3" s="4" t="str">
        <f t="shared" ref="O3:O66" si="4">TEXT(A3,"YYYY-MM")</f>
        <v>2024-11</v>
      </c>
    </row>
    <row r="4" spans="1:15">
      <c r="A4" s="28">
        <v>45475</v>
      </c>
      <c r="B4" s="27">
        <v>45475</v>
      </c>
      <c r="C4" s="4">
        <v>1003</v>
      </c>
      <c r="D4" s="4" t="s">
        <v>15</v>
      </c>
      <c r="E4" s="4" t="s">
        <v>16</v>
      </c>
      <c r="F4" s="4" t="s">
        <v>17</v>
      </c>
      <c r="G4" s="4">
        <v>9</v>
      </c>
      <c r="H4" s="4">
        <v>101.58</v>
      </c>
      <c r="I4" s="4">
        <v>69.86</v>
      </c>
      <c r="J4" s="4">
        <v>115.47</v>
      </c>
      <c r="K4" s="4">
        <f t="shared" si="0"/>
        <v>914.22</v>
      </c>
      <c r="L4" s="4">
        <f t="shared" si="1"/>
        <v>628.74</v>
      </c>
      <c r="M4" s="4">
        <f t="shared" si="2"/>
        <v>285.48</v>
      </c>
      <c r="N4" s="4">
        <f t="shared" si="3"/>
        <v>31.2266194132703</v>
      </c>
      <c r="O4" s="4" t="str">
        <f t="shared" si="4"/>
        <v>2024-07</v>
      </c>
    </row>
    <row r="5" spans="1:15">
      <c r="A5" s="28">
        <v>45315</v>
      </c>
      <c r="B5" s="27">
        <v>45315</v>
      </c>
      <c r="C5" s="4">
        <v>1004</v>
      </c>
      <c r="D5" s="4" t="s">
        <v>18</v>
      </c>
      <c r="E5" s="4" t="s">
        <v>10</v>
      </c>
      <c r="F5" s="4" t="s">
        <v>17</v>
      </c>
      <c r="G5" s="4">
        <v>11</v>
      </c>
      <c r="H5" s="4">
        <v>29.57</v>
      </c>
      <c r="I5" s="4">
        <v>17.79</v>
      </c>
      <c r="J5" s="4">
        <v>140.36</v>
      </c>
      <c r="K5" s="4">
        <f t="shared" si="0"/>
        <v>325.27</v>
      </c>
      <c r="L5" s="4">
        <f t="shared" si="1"/>
        <v>195.69</v>
      </c>
      <c r="M5" s="4">
        <f t="shared" si="2"/>
        <v>129.58</v>
      </c>
      <c r="N5" s="4">
        <f t="shared" si="3"/>
        <v>39.8376733175516</v>
      </c>
      <c r="O5" s="4" t="str">
        <f t="shared" si="4"/>
        <v>2024-01</v>
      </c>
    </row>
    <row r="6" spans="1:15">
      <c r="A6" s="28">
        <v>45328</v>
      </c>
      <c r="B6" s="27">
        <v>45328</v>
      </c>
      <c r="C6" s="4">
        <v>1005</v>
      </c>
      <c r="D6" s="4" t="s">
        <v>19</v>
      </c>
      <c r="E6" s="4" t="s">
        <v>10</v>
      </c>
      <c r="F6" s="4" t="s">
        <v>14</v>
      </c>
      <c r="G6" s="4">
        <v>24</v>
      </c>
      <c r="H6" s="4">
        <v>95.81</v>
      </c>
      <c r="I6" s="4">
        <v>30.13</v>
      </c>
      <c r="J6" s="4">
        <v>63.09</v>
      </c>
      <c r="K6" s="4">
        <f t="shared" si="0"/>
        <v>2299.44</v>
      </c>
      <c r="L6" s="4">
        <f t="shared" si="1"/>
        <v>723.12</v>
      </c>
      <c r="M6" s="4">
        <f t="shared" si="2"/>
        <v>1576.32</v>
      </c>
      <c r="N6" s="4">
        <f t="shared" si="3"/>
        <v>68.5523431792088</v>
      </c>
      <c r="O6" s="4" t="str">
        <f t="shared" si="4"/>
        <v>2024-02</v>
      </c>
    </row>
    <row r="7" spans="1:15">
      <c r="A7" s="28">
        <v>45400</v>
      </c>
      <c r="B7" s="27">
        <v>45400</v>
      </c>
      <c r="C7" s="4">
        <v>1006</v>
      </c>
      <c r="D7" s="4" t="s">
        <v>20</v>
      </c>
      <c r="E7" s="4" t="s">
        <v>21</v>
      </c>
      <c r="F7" s="4" t="s">
        <v>17</v>
      </c>
      <c r="G7" s="4">
        <v>4</v>
      </c>
      <c r="H7" s="4">
        <v>38.64</v>
      </c>
      <c r="I7" s="4">
        <v>16.16</v>
      </c>
      <c r="J7" s="4">
        <v>116.92</v>
      </c>
      <c r="K7" s="4">
        <f t="shared" si="0"/>
        <v>154.56</v>
      </c>
      <c r="L7" s="4">
        <f t="shared" si="1"/>
        <v>64.64</v>
      </c>
      <c r="M7" s="4">
        <f t="shared" si="2"/>
        <v>89.92</v>
      </c>
      <c r="N7" s="4">
        <f t="shared" si="3"/>
        <v>58.1780538302277</v>
      </c>
      <c r="O7" s="4" t="str">
        <f t="shared" si="4"/>
        <v>2024-04</v>
      </c>
    </row>
    <row r="8" spans="1:15">
      <c r="A8" s="28">
        <v>45496</v>
      </c>
      <c r="B8" s="27">
        <v>45496</v>
      </c>
      <c r="C8" s="4">
        <v>1007</v>
      </c>
      <c r="D8" s="4" t="s">
        <v>22</v>
      </c>
      <c r="E8" s="4" t="s">
        <v>23</v>
      </c>
      <c r="F8" s="4" t="s">
        <v>11</v>
      </c>
      <c r="G8" s="4">
        <v>5</v>
      </c>
      <c r="H8" s="4">
        <v>97.54</v>
      </c>
      <c r="I8" s="4">
        <v>32.05</v>
      </c>
      <c r="J8" s="4">
        <v>76.32</v>
      </c>
      <c r="K8" s="4">
        <f t="shared" si="0"/>
        <v>487.7</v>
      </c>
      <c r="L8" s="4">
        <f t="shared" si="1"/>
        <v>160.25</v>
      </c>
      <c r="M8" s="4">
        <f t="shared" si="2"/>
        <v>327.45</v>
      </c>
      <c r="N8" s="4">
        <f t="shared" si="3"/>
        <v>67.1416854623744</v>
      </c>
      <c r="O8" s="4" t="str">
        <f t="shared" si="4"/>
        <v>2024-07</v>
      </c>
    </row>
    <row r="9" spans="1:15">
      <c r="A9" s="28">
        <v>45562</v>
      </c>
      <c r="B9" s="27">
        <v>45562</v>
      </c>
      <c r="C9" s="4">
        <v>1008</v>
      </c>
      <c r="D9" s="4" t="s">
        <v>24</v>
      </c>
      <c r="E9" s="4" t="s">
        <v>16</v>
      </c>
      <c r="F9" s="4" t="s">
        <v>25</v>
      </c>
      <c r="G9" s="4">
        <v>10</v>
      </c>
      <c r="H9" s="4">
        <v>24.05</v>
      </c>
      <c r="I9" s="4">
        <v>12.13</v>
      </c>
      <c r="J9" s="4">
        <v>190.76</v>
      </c>
      <c r="K9" s="4">
        <f t="shared" si="0"/>
        <v>240.5</v>
      </c>
      <c r="L9" s="4">
        <f t="shared" si="1"/>
        <v>121.3</v>
      </c>
      <c r="M9" s="4">
        <f t="shared" si="2"/>
        <v>119.2</v>
      </c>
      <c r="N9" s="4">
        <f t="shared" si="3"/>
        <v>49.5634095634096</v>
      </c>
      <c r="O9" s="4" t="str">
        <f t="shared" si="4"/>
        <v>2024-09</v>
      </c>
    </row>
    <row r="10" spans="1:15">
      <c r="A10" s="28">
        <v>45426</v>
      </c>
      <c r="B10" s="27">
        <v>45426</v>
      </c>
      <c r="C10" s="4">
        <v>1009</v>
      </c>
      <c r="D10" s="4" t="s">
        <v>26</v>
      </c>
      <c r="E10" s="4" t="s">
        <v>16</v>
      </c>
      <c r="F10" s="4" t="s">
        <v>14</v>
      </c>
      <c r="G10" s="4">
        <v>24</v>
      </c>
      <c r="H10" s="4">
        <v>29.45</v>
      </c>
      <c r="I10" s="4">
        <v>21.06</v>
      </c>
      <c r="J10" s="4">
        <v>183.7</v>
      </c>
      <c r="K10" s="4">
        <f t="shared" si="0"/>
        <v>706.8</v>
      </c>
      <c r="L10" s="4">
        <f t="shared" si="1"/>
        <v>505.44</v>
      </c>
      <c r="M10" s="4">
        <f t="shared" si="2"/>
        <v>201.36</v>
      </c>
      <c r="N10" s="4">
        <f t="shared" si="3"/>
        <v>28.4889643463497</v>
      </c>
      <c r="O10" s="4" t="str">
        <f t="shared" si="4"/>
        <v>2024-05</v>
      </c>
    </row>
    <row r="11" spans="1:15">
      <c r="A11" s="28">
        <v>45542</v>
      </c>
      <c r="B11" s="27">
        <v>45542</v>
      </c>
      <c r="C11" s="4">
        <v>1010</v>
      </c>
      <c r="D11" s="4" t="s">
        <v>27</v>
      </c>
      <c r="E11" s="4" t="s">
        <v>21</v>
      </c>
      <c r="F11" s="4" t="s">
        <v>11</v>
      </c>
      <c r="G11" s="4">
        <v>15</v>
      </c>
      <c r="H11" s="4">
        <v>100.13</v>
      </c>
      <c r="I11" s="4">
        <v>54.04</v>
      </c>
      <c r="J11" s="4">
        <v>25.15</v>
      </c>
      <c r="K11" s="4">
        <f t="shared" si="0"/>
        <v>1501.95</v>
      </c>
      <c r="L11" s="4">
        <f t="shared" si="1"/>
        <v>810.6</v>
      </c>
      <c r="M11" s="4">
        <f t="shared" si="2"/>
        <v>691.35</v>
      </c>
      <c r="N11" s="4">
        <f t="shared" si="3"/>
        <v>46.0301607909717</v>
      </c>
      <c r="O11" s="4" t="str">
        <f t="shared" si="4"/>
        <v>2024-09</v>
      </c>
    </row>
    <row r="12" spans="1:15">
      <c r="A12" s="28">
        <v>45573</v>
      </c>
      <c r="B12" s="27">
        <v>45573</v>
      </c>
      <c r="C12" s="4">
        <v>1011</v>
      </c>
      <c r="D12" s="4" t="s">
        <v>28</v>
      </c>
      <c r="E12" s="4" t="s">
        <v>23</v>
      </c>
      <c r="F12" s="4" t="s">
        <v>14</v>
      </c>
      <c r="G12" s="4">
        <v>12</v>
      </c>
      <c r="H12" s="4">
        <v>119.48</v>
      </c>
      <c r="I12" s="4">
        <v>59.4</v>
      </c>
      <c r="J12" s="4">
        <v>103.52</v>
      </c>
      <c r="K12" s="4">
        <f t="shared" si="0"/>
        <v>1433.76</v>
      </c>
      <c r="L12" s="4">
        <f t="shared" si="1"/>
        <v>712.8</v>
      </c>
      <c r="M12" s="4">
        <f t="shared" si="2"/>
        <v>720.96</v>
      </c>
      <c r="N12" s="4">
        <f t="shared" si="3"/>
        <v>50.2845664546368</v>
      </c>
      <c r="O12" s="4" t="str">
        <f t="shared" si="4"/>
        <v>2024-10</v>
      </c>
    </row>
    <row r="13" spans="1:15">
      <c r="A13" s="28">
        <v>45407</v>
      </c>
      <c r="B13" s="27">
        <v>45407</v>
      </c>
      <c r="C13" s="4">
        <v>1012</v>
      </c>
      <c r="D13" s="4" t="s">
        <v>29</v>
      </c>
      <c r="E13" s="4" t="s">
        <v>10</v>
      </c>
      <c r="F13" s="4" t="s">
        <v>11</v>
      </c>
      <c r="G13" s="4">
        <v>1</v>
      </c>
      <c r="H13" s="4">
        <v>104.84</v>
      </c>
      <c r="I13" s="4">
        <v>42.68</v>
      </c>
      <c r="J13" s="4">
        <v>133.8</v>
      </c>
      <c r="K13" s="4">
        <f t="shared" si="0"/>
        <v>104.84</v>
      </c>
      <c r="L13" s="4">
        <f t="shared" si="1"/>
        <v>42.68</v>
      </c>
      <c r="M13" s="4">
        <f t="shared" si="2"/>
        <v>62.16</v>
      </c>
      <c r="N13" s="4">
        <f t="shared" si="3"/>
        <v>59.2903471957268</v>
      </c>
      <c r="O13" s="4" t="str">
        <f t="shared" si="4"/>
        <v>2024-04</v>
      </c>
    </row>
    <row r="14" spans="1:15">
      <c r="A14" s="28">
        <v>45359</v>
      </c>
      <c r="B14" s="27">
        <v>45359</v>
      </c>
      <c r="C14" s="4">
        <v>1013</v>
      </c>
      <c r="D14" s="4" t="s">
        <v>31</v>
      </c>
      <c r="E14" s="4" t="s">
        <v>23</v>
      </c>
      <c r="F14" s="4" t="s">
        <v>17</v>
      </c>
      <c r="G14" s="4">
        <v>3</v>
      </c>
      <c r="H14" s="4">
        <v>83.17</v>
      </c>
      <c r="I14" s="4">
        <v>40.34</v>
      </c>
      <c r="J14" s="4">
        <v>172.77</v>
      </c>
      <c r="K14" s="4">
        <f t="shared" si="0"/>
        <v>249.51</v>
      </c>
      <c r="L14" s="4">
        <f t="shared" si="1"/>
        <v>121.02</v>
      </c>
      <c r="M14" s="4">
        <f t="shared" si="2"/>
        <v>128.49</v>
      </c>
      <c r="N14" s="4">
        <f t="shared" si="3"/>
        <v>51.4969339906216</v>
      </c>
      <c r="O14" s="4" t="str">
        <f t="shared" si="4"/>
        <v>2024-03</v>
      </c>
    </row>
    <row r="15" spans="1:15">
      <c r="A15" s="28">
        <v>45626</v>
      </c>
      <c r="B15" s="27">
        <v>45626</v>
      </c>
      <c r="C15" s="4">
        <v>1014</v>
      </c>
      <c r="D15" s="4" t="s">
        <v>32</v>
      </c>
      <c r="E15" s="4" t="s">
        <v>21</v>
      </c>
      <c r="F15" s="4" t="s">
        <v>14</v>
      </c>
      <c r="G15" s="4">
        <v>14</v>
      </c>
      <c r="H15" s="4">
        <v>27.14</v>
      </c>
      <c r="I15" s="4">
        <v>13.79</v>
      </c>
      <c r="J15" s="4">
        <v>174.9</v>
      </c>
      <c r="K15" s="4">
        <f t="shared" si="0"/>
        <v>379.96</v>
      </c>
      <c r="L15" s="4">
        <f t="shared" si="1"/>
        <v>193.06</v>
      </c>
      <c r="M15" s="4">
        <f t="shared" si="2"/>
        <v>186.9</v>
      </c>
      <c r="N15" s="4">
        <f t="shared" si="3"/>
        <v>49.1893883566691</v>
      </c>
      <c r="O15" s="4" t="str">
        <f t="shared" si="4"/>
        <v>2024-11</v>
      </c>
    </row>
    <row r="16" customFormat="1" spans="1:15">
      <c r="A16" s="28">
        <v>45491</v>
      </c>
      <c r="B16" s="27">
        <v>45491</v>
      </c>
      <c r="C16" s="4">
        <v>1015</v>
      </c>
      <c r="D16" s="4" t="s">
        <v>29</v>
      </c>
      <c r="E16" s="4" t="s">
        <v>16</v>
      </c>
      <c r="F16" s="4" t="s">
        <v>14</v>
      </c>
      <c r="G16" s="4">
        <v>15</v>
      </c>
      <c r="H16" s="4">
        <v>63.99</v>
      </c>
      <c r="I16" s="4">
        <v>45.18</v>
      </c>
      <c r="J16" s="4">
        <v>32.93</v>
      </c>
      <c r="K16" s="4">
        <f t="shared" si="0"/>
        <v>959.85</v>
      </c>
      <c r="L16" s="4">
        <f t="shared" si="1"/>
        <v>677.7</v>
      </c>
      <c r="M16" s="4">
        <f t="shared" si="2"/>
        <v>282.15</v>
      </c>
      <c r="N16" s="4">
        <f t="shared" si="3"/>
        <v>29.3952180028129</v>
      </c>
      <c r="O16" s="4" t="str">
        <f t="shared" si="4"/>
        <v>2024-07</v>
      </c>
    </row>
    <row r="17" spans="1:15">
      <c r="A17" s="28">
        <v>45317</v>
      </c>
      <c r="B17" s="27">
        <v>45317</v>
      </c>
      <c r="C17" s="4">
        <v>1016</v>
      </c>
      <c r="D17" s="4" t="s">
        <v>12</v>
      </c>
      <c r="E17" s="4" t="s">
        <v>21</v>
      </c>
      <c r="F17" s="4" t="s">
        <v>17</v>
      </c>
      <c r="G17" s="4">
        <v>9</v>
      </c>
      <c r="H17" s="4">
        <v>35.51</v>
      </c>
      <c r="I17" s="4">
        <v>22.41</v>
      </c>
      <c r="J17" s="4">
        <v>12.19</v>
      </c>
      <c r="K17" s="4">
        <f t="shared" si="0"/>
        <v>319.59</v>
      </c>
      <c r="L17" s="4">
        <f t="shared" si="1"/>
        <v>201.69</v>
      </c>
      <c r="M17" s="4">
        <f t="shared" si="2"/>
        <v>117.9</v>
      </c>
      <c r="N17" s="4">
        <f t="shared" si="3"/>
        <v>36.891016615038</v>
      </c>
      <c r="O17" s="4" t="str">
        <f t="shared" si="4"/>
        <v>2024-01</v>
      </c>
    </row>
    <row r="18" spans="1:15">
      <c r="A18" s="28">
        <v>45596</v>
      </c>
      <c r="B18" s="27">
        <v>45596</v>
      </c>
      <c r="C18" s="4">
        <v>1017</v>
      </c>
      <c r="D18" s="4" t="s">
        <v>33</v>
      </c>
      <c r="E18" s="4" t="s">
        <v>10</v>
      </c>
      <c r="F18" s="4" t="s">
        <v>14</v>
      </c>
      <c r="G18" s="4">
        <v>2</v>
      </c>
      <c r="H18" s="4">
        <v>84.92</v>
      </c>
      <c r="I18" s="4">
        <v>30.06</v>
      </c>
      <c r="J18" s="4">
        <v>178.06</v>
      </c>
      <c r="K18" s="4">
        <f t="shared" si="0"/>
        <v>169.84</v>
      </c>
      <c r="L18" s="4">
        <f t="shared" si="1"/>
        <v>60.12</v>
      </c>
      <c r="M18" s="4">
        <f t="shared" si="2"/>
        <v>109.72</v>
      </c>
      <c r="N18" s="4">
        <f t="shared" si="3"/>
        <v>64.6019783325483</v>
      </c>
      <c r="O18" s="4" t="str">
        <f t="shared" si="4"/>
        <v>2024-10</v>
      </c>
    </row>
    <row r="19" spans="1:15">
      <c r="A19" s="28">
        <v>45296</v>
      </c>
      <c r="B19" s="27">
        <v>45296</v>
      </c>
      <c r="C19" s="4">
        <v>1018</v>
      </c>
      <c r="D19" s="4" t="s">
        <v>34</v>
      </c>
      <c r="E19" s="4" t="s">
        <v>21</v>
      </c>
      <c r="F19" s="4" t="s">
        <v>25</v>
      </c>
      <c r="G19" s="4">
        <v>12</v>
      </c>
      <c r="H19" s="4">
        <v>26.13</v>
      </c>
      <c r="I19" s="4">
        <v>13.22</v>
      </c>
      <c r="J19" s="4">
        <v>185.8</v>
      </c>
      <c r="K19" s="4">
        <f t="shared" si="0"/>
        <v>313.56</v>
      </c>
      <c r="L19" s="4">
        <f t="shared" si="1"/>
        <v>158.64</v>
      </c>
      <c r="M19" s="4">
        <f t="shared" si="2"/>
        <v>154.92</v>
      </c>
      <c r="N19" s="4">
        <f t="shared" si="3"/>
        <v>49.4068120933793</v>
      </c>
      <c r="O19" s="4" t="str">
        <f t="shared" si="4"/>
        <v>2024-01</v>
      </c>
    </row>
    <row r="20" spans="1:15">
      <c r="A20" s="28">
        <v>45605</v>
      </c>
      <c r="B20" s="27">
        <v>45605</v>
      </c>
      <c r="C20" s="4">
        <v>1019</v>
      </c>
      <c r="D20" s="4" t="s">
        <v>35</v>
      </c>
      <c r="E20" s="4" t="s">
        <v>16</v>
      </c>
      <c r="F20" s="4" t="s">
        <v>14</v>
      </c>
      <c r="G20" s="4">
        <v>2</v>
      </c>
      <c r="H20" s="4">
        <v>106.96</v>
      </c>
      <c r="I20" s="4">
        <v>39.68</v>
      </c>
      <c r="J20" s="4">
        <v>166.75</v>
      </c>
      <c r="K20" s="4">
        <f t="shared" si="0"/>
        <v>213.92</v>
      </c>
      <c r="L20" s="4">
        <f t="shared" si="1"/>
        <v>79.36</v>
      </c>
      <c r="M20" s="4">
        <f t="shared" si="2"/>
        <v>134.56</v>
      </c>
      <c r="N20" s="4">
        <f t="shared" si="3"/>
        <v>62.9020194465221</v>
      </c>
      <c r="O20" s="4" t="str">
        <f t="shared" si="4"/>
        <v>2024-11</v>
      </c>
    </row>
    <row r="21" spans="1:15">
      <c r="A21" s="28">
        <v>45399</v>
      </c>
      <c r="B21" s="27">
        <v>45399</v>
      </c>
      <c r="C21" s="4">
        <v>1020</v>
      </c>
      <c r="D21" s="4" t="s">
        <v>26</v>
      </c>
      <c r="E21" s="4" t="s">
        <v>16</v>
      </c>
      <c r="F21" s="4" t="s">
        <v>11</v>
      </c>
      <c r="G21" s="4">
        <v>4</v>
      </c>
      <c r="H21" s="4">
        <v>40.56</v>
      </c>
      <c r="I21" s="4">
        <v>25.72</v>
      </c>
      <c r="J21" s="4">
        <v>31.09</v>
      </c>
      <c r="K21" s="4">
        <f t="shared" si="0"/>
        <v>162.24</v>
      </c>
      <c r="L21" s="4">
        <f t="shared" si="1"/>
        <v>102.88</v>
      </c>
      <c r="M21" s="4">
        <f t="shared" si="2"/>
        <v>59.36</v>
      </c>
      <c r="N21" s="4">
        <f t="shared" si="3"/>
        <v>36.5877712031558</v>
      </c>
      <c r="O21" s="4" t="str">
        <f t="shared" si="4"/>
        <v>2024-04</v>
      </c>
    </row>
    <row r="22" spans="1:15">
      <c r="A22" s="28">
        <v>45374</v>
      </c>
      <c r="B22" s="27">
        <v>45374</v>
      </c>
      <c r="C22" s="4">
        <v>1021</v>
      </c>
      <c r="D22" s="4" t="s">
        <v>36</v>
      </c>
      <c r="E22" s="4" t="s">
        <v>21</v>
      </c>
      <c r="F22" s="4" t="s">
        <v>11</v>
      </c>
      <c r="G22" s="4">
        <v>13</v>
      </c>
      <c r="H22" s="4">
        <v>101.57</v>
      </c>
      <c r="I22" s="4">
        <v>45.72</v>
      </c>
      <c r="J22" s="4">
        <v>26.16</v>
      </c>
      <c r="K22" s="4">
        <f t="shared" si="0"/>
        <v>1320.41</v>
      </c>
      <c r="L22" s="4">
        <f t="shared" si="1"/>
        <v>594.36</v>
      </c>
      <c r="M22" s="4">
        <f t="shared" si="2"/>
        <v>726.05</v>
      </c>
      <c r="N22" s="4">
        <f t="shared" si="3"/>
        <v>54.986708673821</v>
      </c>
      <c r="O22" s="4" t="str">
        <f t="shared" si="4"/>
        <v>2024-03</v>
      </c>
    </row>
    <row r="23" spans="1:15">
      <c r="A23" s="28">
        <v>45312</v>
      </c>
      <c r="B23" s="27">
        <v>45312</v>
      </c>
      <c r="C23" s="4">
        <v>1022</v>
      </c>
      <c r="D23" s="4" t="s">
        <v>37</v>
      </c>
      <c r="E23" s="4" t="s">
        <v>16</v>
      </c>
      <c r="F23" s="4" t="s">
        <v>14</v>
      </c>
      <c r="G23" s="4">
        <v>11</v>
      </c>
      <c r="H23" s="4">
        <v>74.91</v>
      </c>
      <c r="I23" s="4">
        <v>26.77</v>
      </c>
      <c r="J23" s="4">
        <v>61.65</v>
      </c>
      <c r="K23" s="4">
        <f t="shared" si="0"/>
        <v>824.01</v>
      </c>
      <c r="L23" s="4">
        <f t="shared" si="1"/>
        <v>294.47</v>
      </c>
      <c r="M23" s="4">
        <f t="shared" si="2"/>
        <v>529.54</v>
      </c>
      <c r="N23" s="4">
        <f t="shared" si="3"/>
        <v>64.2637832065145</v>
      </c>
      <c r="O23" s="4" t="str">
        <f t="shared" si="4"/>
        <v>2024-01</v>
      </c>
    </row>
    <row r="24" spans="1:15">
      <c r="A24" s="28">
        <v>45503</v>
      </c>
      <c r="B24" s="27">
        <v>45503</v>
      </c>
      <c r="C24" s="4">
        <v>1023</v>
      </c>
      <c r="D24" s="4" t="s">
        <v>9</v>
      </c>
      <c r="E24" s="4" t="s">
        <v>16</v>
      </c>
      <c r="F24" s="4" t="s">
        <v>17</v>
      </c>
      <c r="G24" s="4">
        <v>23</v>
      </c>
      <c r="H24" s="4">
        <v>28.69</v>
      </c>
      <c r="I24" s="4">
        <v>19.77</v>
      </c>
      <c r="J24" s="4">
        <v>195.24</v>
      </c>
      <c r="K24" s="4">
        <f t="shared" si="0"/>
        <v>659.87</v>
      </c>
      <c r="L24" s="4">
        <f t="shared" si="1"/>
        <v>454.71</v>
      </c>
      <c r="M24" s="4">
        <f t="shared" si="2"/>
        <v>205.16</v>
      </c>
      <c r="N24" s="4">
        <f t="shared" si="3"/>
        <v>31.0909724642733</v>
      </c>
      <c r="O24" s="4" t="str">
        <f t="shared" si="4"/>
        <v>2024-07</v>
      </c>
    </row>
    <row r="25" spans="1:15">
      <c r="A25" s="28">
        <v>45527</v>
      </c>
      <c r="B25" s="27">
        <v>45527</v>
      </c>
      <c r="C25" s="4">
        <v>1024</v>
      </c>
      <c r="D25" s="4" t="s">
        <v>38</v>
      </c>
      <c r="E25" s="4" t="s">
        <v>23</v>
      </c>
      <c r="F25" s="4" t="s">
        <v>14</v>
      </c>
      <c r="G25" s="4">
        <v>25</v>
      </c>
      <c r="H25" s="4">
        <v>87.74</v>
      </c>
      <c r="I25" s="4">
        <v>27.85</v>
      </c>
      <c r="J25" s="4">
        <v>94.14</v>
      </c>
      <c r="K25" s="4">
        <f t="shared" si="0"/>
        <v>2193.5</v>
      </c>
      <c r="L25" s="4">
        <f t="shared" si="1"/>
        <v>696.25</v>
      </c>
      <c r="M25" s="4">
        <f t="shared" si="2"/>
        <v>1497.25</v>
      </c>
      <c r="N25" s="4">
        <f t="shared" si="3"/>
        <v>68.2584909961249</v>
      </c>
      <c r="O25" s="4" t="str">
        <f t="shared" si="4"/>
        <v>2024-08</v>
      </c>
    </row>
    <row r="26" spans="1:15">
      <c r="A26" s="28">
        <v>45566</v>
      </c>
      <c r="B26" s="27">
        <v>45566</v>
      </c>
      <c r="C26" s="4">
        <v>1025</v>
      </c>
      <c r="D26" s="4" t="s">
        <v>33</v>
      </c>
      <c r="E26" s="4" t="s">
        <v>10</v>
      </c>
      <c r="F26" s="4" t="s">
        <v>17</v>
      </c>
      <c r="G26" s="4">
        <v>2</v>
      </c>
      <c r="H26" s="4">
        <v>116.42</v>
      </c>
      <c r="I26" s="4">
        <v>68.53</v>
      </c>
      <c r="J26" s="4">
        <v>79.94</v>
      </c>
      <c r="K26" s="4">
        <f t="shared" si="0"/>
        <v>232.84</v>
      </c>
      <c r="L26" s="4">
        <f t="shared" si="1"/>
        <v>137.06</v>
      </c>
      <c r="M26" s="4">
        <f t="shared" si="2"/>
        <v>95.78</v>
      </c>
      <c r="N26" s="4">
        <f t="shared" si="3"/>
        <v>41.1355437210101</v>
      </c>
      <c r="O26" s="4" t="str">
        <f t="shared" si="4"/>
        <v>2024-10</v>
      </c>
    </row>
    <row r="27" spans="1:15">
      <c r="A27" s="28">
        <v>45489</v>
      </c>
      <c r="B27" s="27">
        <v>45489</v>
      </c>
      <c r="C27" s="4">
        <v>1026</v>
      </c>
      <c r="D27" s="4" t="s">
        <v>27</v>
      </c>
      <c r="E27" s="4" t="s">
        <v>21</v>
      </c>
      <c r="F27" s="4" t="s">
        <v>25</v>
      </c>
      <c r="G27" s="4">
        <v>19</v>
      </c>
      <c r="H27" s="4">
        <v>58.93</v>
      </c>
      <c r="I27" s="4">
        <v>26</v>
      </c>
      <c r="J27" s="4">
        <v>121.24</v>
      </c>
      <c r="K27" s="4">
        <f t="shared" si="0"/>
        <v>1119.67</v>
      </c>
      <c r="L27" s="4">
        <f t="shared" si="1"/>
        <v>494</v>
      </c>
      <c r="M27" s="4">
        <f t="shared" si="2"/>
        <v>625.67</v>
      </c>
      <c r="N27" s="4">
        <f t="shared" si="3"/>
        <v>55.879857458001</v>
      </c>
      <c r="O27" s="4" t="str">
        <f t="shared" si="4"/>
        <v>2024-07</v>
      </c>
    </row>
    <row r="28" spans="1:15">
      <c r="A28" s="28">
        <v>45445</v>
      </c>
      <c r="B28" s="27">
        <v>45445</v>
      </c>
      <c r="C28" s="4">
        <v>1027</v>
      </c>
      <c r="D28" s="4" t="s">
        <v>39</v>
      </c>
      <c r="E28" s="4" t="s">
        <v>40</v>
      </c>
      <c r="F28" s="4" t="s">
        <v>14</v>
      </c>
      <c r="G28" s="4">
        <v>2</v>
      </c>
      <c r="H28" s="4">
        <v>114.48</v>
      </c>
      <c r="I28" s="4">
        <v>66.45</v>
      </c>
      <c r="J28" s="4">
        <v>132.68</v>
      </c>
      <c r="K28" s="4">
        <f t="shared" si="0"/>
        <v>228.96</v>
      </c>
      <c r="L28" s="4">
        <f t="shared" si="1"/>
        <v>132.9</v>
      </c>
      <c r="M28" s="4">
        <f t="shared" si="2"/>
        <v>96.06</v>
      </c>
      <c r="N28" s="4">
        <f t="shared" si="3"/>
        <v>41.9549266247379</v>
      </c>
      <c r="O28" s="4" t="str">
        <f t="shared" si="4"/>
        <v>2024-06</v>
      </c>
    </row>
    <row r="29" spans="1:15">
      <c r="A29" s="28">
        <v>45292</v>
      </c>
      <c r="B29" s="27">
        <v>45292</v>
      </c>
      <c r="C29" s="4">
        <v>1028</v>
      </c>
      <c r="D29" s="4" t="s">
        <v>38</v>
      </c>
      <c r="E29" s="4" t="s">
        <v>23</v>
      </c>
      <c r="F29" s="4" t="s">
        <v>14</v>
      </c>
      <c r="G29" s="4">
        <v>12</v>
      </c>
      <c r="H29" s="4">
        <v>85.15</v>
      </c>
      <c r="I29" s="4">
        <v>49.13</v>
      </c>
      <c r="J29" s="4">
        <v>60.19</v>
      </c>
      <c r="K29" s="4">
        <f t="shared" si="0"/>
        <v>1021.8</v>
      </c>
      <c r="L29" s="4">
        <f t="shared" si="1"/>
        <v>589.56</v>
      </c>
      <c r="M29" s="4">
        <f t="shared" si="2"/>
        <v>432.24</v>
      </c>
      <c r="N29" s="4">
        <f t="shared" si="3"/>
        <v>42.3018203170875</v>
      </c>
      <c r="O29" s="4" t="str">
        <f t="shared" si="4"/>
        <v>2024-01</v>
      </c>
    </row>
    <row r="30" spans="1:15">
      <c r="A30" s="28">
        <v>45616</v>
      </c>
      <c r="B30" s="27">
        <v>45616</v>
      </c>
      <c r="C30" s="4">
        <v>1029</v>
      </c>
      <c r="D30" s="4" t="s">
        <v>15</v>
      </c>
      <c r="E30" s="4" t="s">
        <v>21</v>
      </c>
      <c r="F30" s="4" t="s">
        <v>14</v>
      </c>
      <c r="G30" s="4">
        <v>25</v>
      </c>
      <c r="H30" s="4">
        <v>109.33</v>
      </c>
      <c r="I30" s="4">
        <v>41.15</v>
      </c>
      <c r="J30" s="4">
        <v>16.96</v>
      </c>
      <c r="K30" s="4">
        <f t="shared" si="0"/>
        <v>2733.25</v>
      </c>
      <c r="L30" s="4">
        <f t="shared" si="1"/>
        <v>1028.75</v>
      </c>
      <c r="M30" s="4">
        <f t="shared" si="2"/>
        <v>1704.5</v>
      </c>
      <c r="N30" s="4">
        <f t="shared" si="3"/>
        <v>62.3616573676027</v>
      </c>
      <c r="O30" s="4" t="str">
        <f t="shared" si="4"/>
        <v>2024-11</v>
      </c>
    </row>
    <row r="31" spans="1:15">
      <c r="A31" s="28">
        <v>45614</v>
      </c>
      <c r="B31" s="27">
        <v>45614</v>
      </c>
      <c r="C31" s="4">
        <v>1030</v>
      </c>
      <c r="D31" s="4" t="s">
        <v>41</v>
      </c>
      <c r="E31" s="4" t="s">
        <v>10</v>
      </c>
      <c r="F31" s="4" t="s">
        <v>14</v>
      </c>
      <c r="G31" s="4">
        <v>1</v>
      </c>
      <c r="H31" s="4">
        <v>38.44</v>
      </c>
      <c r="I31" s="4">
        <v>26.23</v>
      </c>
      <c r="J31" s="4">
        <v>14.57</v>
      </c>
      <c r="K31" s="4">
        <f t="shared" si="0"/>
        <v>38.44</v>
      </c>
      <c r="L31" s="4">
        <f t="shared" si="1"/>
        <v>26.23</v>
      </c>
      <c r="M31" s="4">
        <f t="shared" si="2"/>
        <v>12.21</v>
      </c>
      <c r="N31" s="4">
        <f t="shared" si="3"/>
        <v>31.7637877211238</v>
      </c>
      <c r="O31" s="4" t="str">
        <f t="shared" si="4"/>
        <v>2024-11</v>
      </c>
    </row>
    <row r="32" spans="1:15">
      <c r="A32" s="28">
        <v>45529</v>
      </c>
      <c r="B32" s="27">
        <v>45529</v>
      </c>
      <c r="C32" s="4">
        <v>1031</v>
      </c>
      <c r="D32" s="4" t="s">
        <v>32</v>
      </c>
      <c r="E32" s="4" t="s">
        <v>23</v>
      </c>
      <c r="F32" s="4" t="s">
        <v>11</v>
      </c>
      <c r="G32" s="4">
        <v>24</v>
      </c>
      <c r="H32" s="4">
        <v>107.63</v>
      </c>
      <c r="I32" s="4">
        <v>42.89</v>
      </c>
      <c r="J32" s="4">
        <v>160.82</v>
      </c>
      <c r="K32" s="4">
        <f t="shared" si="0"/>
        <v>2583.12</v>
      </c>
      <c r="L32" s="4">
        <f t="shared" si="1"/>
        <v>1029.36</v>
      </c>
      <c r="M32" s="4">
        <f t="shared" si="2"/>
        <v>1553.76</v>
      </c>
      <c r="N32" s="4">
        <f t="shared" si="3"/>
        <v>60.1505156554864</v>
      </c>
      <c r="O32" s="4" t="str">
        <f t="shared" si="4"/>
        <v>2024-08</v>
      </c>
    </row>
    <row r="33" spans="1:15">
      <c r="A33" s="28">
        <v>45373</v>
      </c>
      <c r="B33" s="27">
        <v>45373</v>
      </c>
      <c r="C33" s="4">
        <v>1032</v>
      </c>
      <c r="D33" s="4" t="s">
        <v>33</v>
      </c>
      <c r="E33" s="4" t="s">
        <v>16</v>
      </c>
      <c r="F33" s="4" t="s">
        <v>25</v>
      </c>
      <c r="G33" s="4">
        <v>14</v>
      </c>
      <c r="H33" s="4">
        <v>78.17</v>
      </c>
      <c r="I33" s="4">
        <v>41.21</v>
      </c>
      <c r="J33" s="4">
        <v>166.11</v>
      </c>
      <c r="K33" s="4">
        <f t="shared" si="0"/>
        <v>1094.38</v>
      </c>
      <c r="L33" s="4">
        <f t="shared" si="1"/>
        <v>576.94</v>
      </c>
      <c r="M33" s="4">
        <f t="shared" si="2"/>
        <v>517.44</v>
      </c>
      <c r="N33" s="4">
        <f t="shared" si="3"/>
        <v>47.2815658180888</v>
      </c>
      <c r="O33" s="4" t="str">
        <f t="shared" si="4"/>
        <v>2024-03</v>
      </c>
    </row>
    <row r="34" spans="1:15">
      <c r="A34" s="28">
        <v>45333</v>
      </c>
      <c r="B34" s="27">
        <v>45333</v>
      </c>
      <c r="C34" s="4">
        <v>1033</v>
      </c>
      <c r="D34" s="4" t="s">
        <v>42</v>
      </c>
      <c r="E34" s="4" t="s">
        <v>10</v>
      </c>
      <c r="F34" s="4" t="s">
        <v>17</v>
      </c>
      <c r="G34" s="4">
        <v>8</v>
      </c>
      <c r="H34" s="4">
        <v>59.51</v>
      </c>
      <c r="I34" s="4">
        <v>24.13</v>
      </c>
      <c r="J34" s="4">
        <v>67.17</v>
      </c>
      <c r="K34" s="4">
        <f t="shared" si="0"/>
        <v>476.08</v>
      </c>
      <c r="L34" s="4">
        <f t="shared" si="1"/>
        <v>193.04</v>
      </c>
      <c r="M34" s="4">
        <f t="shared" si="2"/>
        <v>283.04</v>
      </c>
      <c r="N34" s="4">
        <f t="shared" si="3"/>
        <v>59.4521929087548</v>
      </c>
      <c r="O34" s="4" t="str">
        <f t="shared" si="4"/>
        <v>2024-02</v>
      </c>
    </row>
    <row r="35" spans="1:15">
      <c r="A35" s="28">
        <v>45302</v>
      </c>
      <c r="B35" s="27">
        <v>45302</v>
      </c>
      <c r="C35" s="4">
        <v>1034</v>
      </c>
      <c r="D35" s="4" t="s">
        <v>20</v>
      </c>
      <c r="E35" s="4" t="s">
        <v>10</v>
      </c>
      <c r="F35" s="4" t="s">
        <v>17</v>
      </c>
      <c r="G35" s="4">
        <v>14</v>
      </c>
      <c r="H35" s="4">
        <v>56.9</v>
      </c>
      <c r="I35" s="4">
        <v>27.83</v>
      </c>
      <c r="J35" s="4">
        <v>180.97</v>
      </c>
      <c r="K35" s="4">
        <f t="shared" si="0"/>
        <v>796.6</v>
      </c>
      <c r="L35" s="4">
        <f t="shared" si="1"/>
        <v>389.62</v>
      </c>
      <c r="M35" s="4">
        <f t="shared" si="2"/>
        <v>406.98</v>
      </c>
      <c r="N35" s="4">
        <f t="shared" si="3"/>
        <v>51.0896309314587</v>
      </c>
      <c r="O35" s="4" t="str">
        <f t="shared" si="4"/>
        <v>2024-01</v>
      </c>
    </row>
    <row r="36" spans="1:15">
      <c r="A36" s="28">
        <v>45431</v>
      </c>
      <c r="B36" s="27">
        <v>45431</v>
      </c>
      <c r="C36" s="4">
        <v>1035</v>
      </c>
      <c r="D36" s="4" t="s">
        <v>32</v>
      </c>
      <c r="E36" s="4" t="s">
        <v>40</v>
      </c>
      <c r="F36" s="4" t="s">
        <v>17</v>
      </c>
      <c r="G36" s="4">
        <v>13</v>
      </c>
      <c r="H36" s="4">
        <v>70.13</v>
      </c>
      <c r="I36" s="4">
        <v>46.28</v>
      </c>
      <c r="J36" s="4">
        <v>179.56</v>
      </c>
      <c r="K36" s="4">
        <f t="shared" si="0"/>
        <v>911.69</v>
      </c>
      <c r="L36" s="4">
        <f t="shared" si="1"/>
        <v>601.64</v>
      </c>
      <c r="M36" s="4">
        <f t="shared" si="2"/>
        <v>310.05</v>
      </c>
      <c r="N36" s="4">
        <f t="shared" si="3"/>
        <v>34.0082703550549</v>
      </c>
      <c r="O36" s="4" t="str">
        <f t="shared" si="4"/>
        <v>2024-05</v>
      </c>
    </row>
    <row r="37" spans="1:15">
      <c r="A37" s="28">
        <v>45361</v>
      </c>
      <c r="B37" s="27">
        <v>45361</v>
      </c>
      <c r="C37" s="4">
        <v>1036</v>
      </c>
      <c r="D37" s="4" t="s">
        <v>38</v>
      </c>
      <c r="E37" s="4" t="s">
        <v>23</v>
      </c>
      <c r="F37" s="4" t="s">
        <v>14</v>
      </c>
      <c r="G37" s="4">
        <v>17</v>
      </c>
      <c r="H37" s="4">
        <v>14.91</v>
      </c>
      <c r="I37" s="4">
        <v>8.26</v>
      </c>
      <c r="J37" s="4">
        <v>5.42</v>
      </c>
      <c r="K37" s="4">
        <f t="shared" si="0"/>
        <v>253.47</v>
      </c>
      <c r="L37" s="4">
        <f t="shared" si="1"/>
        <v>140.42</v>
      </c>
      <c r="M37" s="4">
        <f t="shared" si="2"/>
        <v>113.05</v>
      </c>
      <c r="N37" s="4">
        <f t="shared" si="3"/>
        <v>44.6009389671362</v>
      </c>
      <c r="O37" s="4" t="str">
        <f t="shared" si="4"/>
        <v>2024-03</v>
      </c>
    </row>
    <row r="38" spans="1:15">
      <c r="A38" s="28">
        <v>45568</v>
      </c>
      <c r="B38" s="27">
        <v>45568</v>
      </c>
      <c r="C38" s="4">
        <v>1037</v>
      </c>
      <c r="D38" s="4" t="s">
        <v>42</v>
      </c>
      <c r="E38" s="4" t="s">
        <v>23</v>
      </c>
      <c r="F38" s="4" t="s">
        <v>25</v>
      </c>
      <c r="G38" s="4">
        <v>12</v>
      </c>
      <c r="H38" s="4">
        <v>42.05</v>
      </c>
      <c r="I38" s="4">
        <v>20.59</v>
      </c>
      <c r="J38" s="4">
        <v>166.98</v>
      </c>
      <c r="K38" s="4">
        <f t="shared" si="0"/>
        <v>504.6</v>
      </c>
      <c r="L38" s="4">
        <f t="shared" si="1"/>
        <v>247.08</v>
      </c>
      <c r="M38" s="4">
        <f t="shared" si="2"/>
        <v>257.52</v>
      </c>
      <c r="N38" s="4">
        <f t="shared" si="3"/>
        <v>51.0344827586207</v>
      </c>
      <c r="O38" s="4" t="str">
        <f t="shared" si="4"/>
        <v>2024-10</v>
      </c>
    </row>
    <row r="39" spans="1:15">
      <c r="A39" s="28">
        <v>45403</v>
      </c>
      <c r="B39" s="27">
        <v>45403</v>
      </c>
      <c r="C39" s="4">
        <v>1038</v>
      </c>
      <c r="D39" s="4" t="s">
        <v>9</v>
      </c>
      <c r="E39" s="4" t="s">
        <v>16</v>
      </c>
      <c r="F39" s="4" t="s">
        <v>11</v>
      </c>
      <c r="G39" s="4">
        <v>6</v>
      </c>
      <c r="H39" s="4">
        <v>102.64</v>
      </c>
      <c r="I39" s="4">
        <v>41.81</v>
      </c>
      <c r="J39" s="4">
        <v>94.71</v>
      </c>
      <c r="K39" s="4">
        <f t="shared" si="0"/>
        <v>615.84</v>
      </c>
      <c r="L39" s="4">
        <f t="shared" si="1"/>
        <v>250.86</v>
      </c>
      <c r="M39" s="4">
        <f t="shared" si="2"/>
        <v>364.98</v>
      </c>
      <c r="N39" s="4">
        <f t="shared" si="3"/>
        <v>59.2653936087295</v>
      </c>
      <c r="O39" s="4" t="str">
        <f t="shared" si="4"/>
        <v>2024-04</v>
      </c>
    </row>
    <row r="40" spans="1:15">
      <c r="A40" s="28">
        <v>45484</v>
      </c>
      <c r="B40" s="27">
        <v>45484</v>
      </c>
      <c r="C40" s="4">
        <v>1039</v>
      </c>
      <c r="D40" s="4" t="s">
        <v>43</v>
      </c>
      <c r="E40" s="4" t="s">
        <v>10</v>
      </c>
      <c r="F40" s="4" t="s">
        <v>11</v>
      </c>
      <c r="G40" s="4">
        <v>5</v>
      </c>
      <c r="H40" s="4">
        <v>116.19</v>
      </c>
      <c r="I40" s="4">
        <v>36.2</v>
      </c>
      <c r="J40" s="4">
        <v>62.39</v>
      </c>
      <c r="K40" s="4">
        <f t="shared" si="0"/>
        <v>580.95</v>
      </c>
      <c r="L40" s="4">
        <f t="shared" si="1"/>
        <v>181</v>
      </c>
      <c r="M40" s="4">
        <f t="shared" si="2"/>
        <v>399.95</v>
      </c>
      <c r="N40" s="4">
        <f t="shared" si="3"/>
        <v>68.8441346071091</v>
      </c>
      <c r="O40" s="4" t="str">
        <f t="shared" si="4"/>
        <v>2024-07</v>
      </c>
    </row>
    <row r="41" spans="1:15">
      <c r="A41" s="28">
        <v>45466</v>
      </c>
      <c r="B41" s="27">
        <v>45466</v>
      </c>
      <c r="C41" s="4">
        <v>1040</v>
      </c>
      <c r="D41" s="4" t="s">
        <v>18</v>
      </c>
      <c r="E41" s="4" t="s">
        <v>10</v>
      </c>
      <c r="F41" s="4" t="s">
        <v>11</v>
      </c>
      <c r="G41" s="4">
        <v>18</v>
      </c>
      <c r="H41" s="4">
        <v>96.52</v>
      </c>
      <c r="I41" s="4">
        <v>47.56</v>
      </c>
      <c r="J41" s="4">
        <v>74.11</v>
      </c>
      <c r="K41" s="4">
        <f t="shared" si="0"/>
        <v>1737.36</v>
      </c>
      <c r="L41" s="4">
        <f t="shared" si="1"/>
        <v>856.08</v>
      </c>
      <c r="M41" s="4">
        <f t="shared" si="2"/>
        <v>881.28</v>
      </c>
      <c r="N41" s="4">
        <f t="shared" si="3"/>
        <v>50.7252382925818</v>
      </c>
      <c r="O41" s="4" t="str">
        <f t="shared" si="4"/>
        <v>2024-06</v>
      </c>
    </row>
    <row r="42" spans="1:15">
      <c r="A42" s="28">
        <v>45539</v>
      </c>
      <c r="B42" s="27">
        <v>45539</v>
      </c>
      <c r="C42" s="4">
        <v>1041</v>
      </c>
      <c r="D42" s="4" t="s">
        <v>44</v>
      </c>
      <c r="E42" s="4" t="s">
        <v>16</v>
      </c>
      <c r="F42" s="4" t="s">
        <v>17</v>
      </c>
      <c r="G42" s="4">
        <v>13</v>
      </c>
      <c r="H42" s="4">
        <v>31.02</v>
      </c>
      <c r="I42" s="4">
        <v>18.39</v>
      </c>
      <c r="J42" s="4">
        <v>123.18</v>
      </c>
      <c r="K42" s="4">
        <f t="shared" si="0"/>
        <v>403.26</v>
      </c>
      <c r="L42" s="4">
        <f t="shared" si="1"/>
        <v>239.07</v>
      </c>
      <c r="M42" s="4">
        <f t="shared" si="2"/>
        <v>164.19</v>
      </c>
      <c r="N42" s="4">
        <f t="shared" si="3"/>
        <v>40.715667311412</v>
      </c>
      <c r="O42" s="4" t="str">
        <f t="shared" si="4"/>
        <v>2024-09</v>
      </c>
    </row>
    <row r="43" spans="1:15">
      <c r="A43" s="28">
        <v>45458</v>
      </c>
      <c r="B43" s="27">
        <v>45458</v>
      </c>
      <c r="C43" s="4">
        <v>1042</v>
      </c>
      <c r="D43" s="4" t="s">
        <v>31</v>
      </c>
      <c r="E43" s="4" t="s">
        <v>21</v>
      </c>
      <c r="F43" s="4" t="s">
        <v>11</v>
      </c>
      <c r="G43" s="4">
        <v>14</v>
      </c>
      <c r="H43" s="4">
        <v>38.34</v>
      </c>
      <c r="I43" s="4">
        <v>22.03</v>
      </c>
      <c r="J43" s="4">
        <v>75.8</v>
      </c>
      <c r="K43" s="4">
        <f t="shared" si="0"/>
        <v>536.76</v>
      </c>
      <c r="L43" s="4">
        <f t="shared" si="1"/>
        <v>308.42</v>
      </c>
      <c r="M43" s="4">
        <f t="shared" si="2"/>
        <v>228.34</v>
      </c>
      <c r="N43" s="4">
        <f t="shared" si="3"/>
        <v>42.5404277516954</v>
      </c>
      <c r="O43" s="4" t="str">
        <f t="shared" si="4"/>
        <v>2024-06</v>
      </c>
    </row>
    <row r="44" spans="1:15">
      <c r="A44" s="28">
        <v>45535</v>
      </c>
      <c r="B44" s="27">
        <v>45535</v>
      </c>
      <c r="C44" s="4">
        <v>1043</v>
      </c>
      <c r="D44" s="4" t="s">
        <v>15</v>
      </c>
      <c r="E44" s="4" t="s">
        <v>21</v>
      </c>
      <c r="F44" s="4" t="s">
        <v>25</v>
      </c>
      <c r="G44" s="4">
        <v>16</v>
      </c>
      <c r="H44" s="4">
        <v>114.39</v>
      </c>
      <c r="I44" s="4">
        <v>71.38</v>
      </c>
      <c r="J44" s="4">
        <v>97.72</v>
      </c>
      <c r="K44" s="4">
        <f t="shared" si="0"/>
        <v>1830.24</v>
      </c>
      <c r="L44" s="4">
        <f t="shared" si="1"/>
        <v>1142.08</v>
      </c>
      <c r="M44" s="4">
        <f t="shared" si="2"/>
        <v>688.16</v>
      </c>
      <c r="N44" s="4">
        <f t="shared" si="3"/>
        <v>37.5994405105341</v>
      </c>
      <c r="O44" s="4" t="str">
        <f t="shared" si="4"/>
        <v>2024-08</v>
      </c>
    </row>
    <row r="45" spans="1:15">
      <c r="A45" s="28">
        <v>45472</v>
      </c>
      <c r="B45" s="27">
        <v>45472</v>
      </c>
      <c r="C45" s="4">
        <v>1044</v>
      </c>
      <c r="D45" s="4" t="s">
        <v>15</v>
      </c>
      <c r="E45" s="4" t="s">
        <v>16</v>
      </c>
      <c r="F45" s="4" t="s">
        <v>14</v>
      </c>
      <c r="G45" s="4">
        <v>18</v>
      </c>
      <c r="H45" s="4">
        <v>51.85</v>
      </c>
      <c r="I45" s="4">
        <v>23.58</v>
      </c>
      <c r="J45" s="4">
        <v>199.33</v>
      </c>
      <c r="K45" s="4">
        <f t="shared" si="0"/>
        <v>933.3</v>
      </c>
      <c r="L45" s="4">
        <f t="shared" si="1"/>
        <v>424.44</v>
      </c>
      <c r="M45" s="4">
        <f t="shared" si="2"/>
        <v>508.86</v>
      </c>
      <c r="N45" s="4">
        <f t="shared" si="3"/>
        <v>54.5226615236258</v>
      </c>
      <c r="O45" s="4" t="str">
        <f t="shared" si="4"/>
        <v>2024-06</v>
      </c>
    </row>
    <row r="46" spans="1:15">
      <c r="A46" s="28">
        <v>45560</v>
      </c>
      <c r="B46" s="27">
        <v>45560</v>
      </c>
      <c r="C46" s="4">
        <v>1045</v>
      </c>
      <c r="D46" s="4" t="s">
        <v>42</v>
      </c>
      <c r="E46" s="4" t="s">
        <v>10</v>
      </c>
      <c r="F46" s="4" t="s">
        <v>11</v>
      </c>
      <c r="G46" s="4">
        <v>24</v>
      </c>
      <c r="H46" s="4">
        <v>86.54</v>
      </c>
      <c r="I46" s="4">
        <v>54.73</v>
      </c>
      <c r="J46" s="4">
        <v>55.3</v>
      </c>
      <c r="K46" s="4">
        <f t="shared" si="0"/>
        <v>2076.96</v>
      </c>
      <c r="L46" s="4">
        <f t="shared" si="1"/>
        <v>1313.52</v>
      </c>
      <c r="M46" s="4">
        <f t="shared" si="2"/>
        <v>763.44</v>
      </c>
      <c r="N46" s="4">
        <f t="shared" si="3"/>
        <v>36.7575687543333</v>
      </c>
      <c r="O46" s="4" t="str">
        <f t="shared" si="4"/>
        <v>2024-09</v>
      </c>
    </row>
    <row r="47" spans="1:15">
      <c r="A47" s="28">
        <v>45618</v>
      </c>
      <c r="B47" s="27">
        <v>45618</v>
      </c>
      <c r="C47" s="4">
        <v>1046</v>
      </c>
      <c r="D47" s="4" t="s">
        <v>45</v>
      </c>
      <c r="E47" s="4" t="s">
        <v>10</v>
      </c>
      <c r="F47" s="4" t="s">
        <v>25</v>
      </c>
      <c r="G47" s="4">
        <v>17</v>
      </c>
      <c r="H47" s="4">
        <v>25.67</v>
      </c>
      <c r="I47" s="4">
        <v>8.33</v>
      </c>
      <c r="J47" s="4">
        <v>58.43</v>
      </c>
      <c r="K47" s="4">
        <f t="shared" si="0"/>
        <v>436.39</v>
      </c>
      <c r="L47" s="4">
        <f t="shared" si="1"/>
        <v>141.61</v>
      </c>
      <c r="M47" s="4">
        <f t="shared" si="2"/>
        <v>294.78</v>
      </c>
      <c r="N47" s="4">
        <f t="shared" si="3"/>
        <v>67.5496688741722</v>
      </c>
      <c r="O47" s="4" t="str">
        <f t="shared" si="4"/>
        <v>2024-11</v>
      </c>
    </row>
    <row r="48" spans="1:15">
      <c r="A48" s="28">
        <v>45587</v>
      </c>
      <c r="B48" s="27">
        <v>45587</v>
      </c>
      <c r="C48" s="4">
        <v>1047</v>
      </c>
      <c r="D48" s="4" t="s">
        <v>33</v>
      </c>
      <c r="E48" s="4" t="s">
        <v>16</v>
      </c>
      <c r="F48" s="4" t="s">
        <v>17</v>
      </c>
      <c r="G48" s="4">
        <v>1</v>
      </c>
      <c r="H48" s="4">
        <v>39.27</v>
      </c>
      <c r="I48" s="4">
        <v>13.8</v>
      </c>
      <c r="J48" s="4">
        <v>13.07</v>
      </c>
      <c r="K48" s="4">
        <f t="shared" si="0"/>
        <v>39.27</v>
      </c>
      <c r="L48" s="4">
        <f t="shared" si="1"/>
        <v>13.8</v>
      </c>
      <c r="M48" s="4">
        <f t="shared" si="2"/>
        <v>25.47</v>
      </c>
      <c r="N48" s="4">
        <f t="shared" si="3"/>
        <v>64.8586707410237</v>
      </c>
      <c r="O48" s="4" t="str">
        <f t="shared" si="4"/>
        <v>2024-10</v>
      </c>
    </row>
    <row r="49" spans="1:15">
      <c r="A49" s="28">
        <v>45593</v>
      </c>
      <c r="B49" s="27">
        <v>45593</v>
      </c>
      <c r="C49" s="4">
        <v>1048</v>
      </c>
      <c r="D49" s="4" t="s">
        <v>22</v>
      </c>
      <c r="E49" s="4" t="s">
        <v>21</v>
      </c>
      <c r="F49" s="4" t="s">
        <v>17</v>
      </c>
      <c r="G49" s="4">
        <v>25</v>
      </c>
      <c r="H49" s="4">
        <v>78.79</v>
      </c>
      <c r="I49" s="4">
        <v>37.12</v>
      </c>
      <c r="J49" s="4">
        <v>181.7</v>
      </c>
      <c r="K49" s="4">
        <f t="shared" si="0"/>
        <v>1969.75</v>
      </c>
      <c r="L49" s="4">
        <f t="shared" si="1"/>
        <v>928</v>
      </c>
      <c r="M49" s="4">
        <f t="shared" si="2"/>
        <v>1041.75</v>
      </c>
      <c r="N49" s="4">
        <f t="shared" si="3"/>
        <v>52.8874222617084</v>
      </c>
      <c r="O49" s="4" t="str">
        <f t="shared" si="4"/>
        <v>2024-10</v>
      </c>
    </row>
    <row r="50" spans="1:15">
      <c r="A50" s="28">
        <v>45522</v>
      </c>
      <c r="B50" s="27">
        <v>45522</v>
      </c>
      <c r="C50" s="4">
        <v>1049</v>
      </c>
      <c r="D50" s="4" t="s">
        <v>28</v>
      </c>
      <c r="E50" s="4" t="s">
        <v>16</v>
      </c>
      <c r="F50" s="4" t="s">
        <v>14</v>
      </c>
      <c r="G50" s="4">
        <v>8</v>
      </c>
      <c r="H50" s="4">
        <v>83.33</v>
      </c>
      <c r="I50" s="4">
        <v>31.52</v>
      </c>
      <c r="J50" s="4">
        <v>15.01</v>
      </c>
      <c r="K50" s="4">
        <f t="shared" si="0"/>
        <v>666.64</v>
      </c>
      <c r="L50" s="4">
        <f t="shared" si="1"/>
        <v>252.16</v>
      </c>
      <c r="M50" s="4">
        <f t="shared" si="2"/>
        <v>414.48</v>
      </c>
      <c r="N50" s="4">
        <f t="shared" si="3"/>
        <v>62.1744869794792</v>
      </c>
      <c r="O50" s="4" t="str">
        <f t="shared" si="4"/>
        <v>2024-08</v>
      </c>
    </row>
    <row r="51" customFormat="1" spans="1:15">
      <c r="A51" s="28">
        <v>45509</v>
      </c>
      <c r="B51" s="27">
        <v>45509</v>
      </c>
      <c r="C51" s="4">
        <v>1050</v>
      </c>
      <c r="D51" s="4" t="s">
        <v>39</v>
      </c>
      <c r="E51" s="4" t="s">
        <v>10</v>
      </c>
      <c r="F51" s="4" t="s">
        <v>17</v>
      </c>
      <c r="G51" s="4">
        <v>7</v>
      </c>
      <c r="H51" s="4">
        <v>111.78</v>
      </c>
      <c r="I51" s="4">
        <v>64.98</v>
      </c>
      <c r="J51" s="4">
        <v>132.24</v>
      </c>
      <c r="K51" s="4">
        <f t="shared" si="0"/>
        <v>782.46</v>
      </c>
      <c r="L51" s="4">
        <f t="shared" si="1"/>
        <v>454.86</v>
      </c>
      <c r="M51" s="4">
        <f t="shared" si="2"/>
        <v>327.6</v>
      </c>
      <c r="N51" s="4">
        <f t="shared" si="3"/>
        <v>41.8679549114332</v>
      </c>
      <c r="O51" s="4" t="str">
        <f t="shared" si="4"/>
        <v>2024-08</v>
      </c>
    </row>
    <row r="52" spans="1:15">
      <c r="A52" s="28">
        <v>45498</v>
      </c>
      <c r="B52" s="27">
        <v>45498</v>
      </c>
      <c r="C52" s="4">
        <v>1051</v>
      </c>
      <c r="D52" s="4" t="s">
        <v>22</v>
      </c>
      <c r="E52" s="4" t="s">
        <v>21</v>
      </c>
      <c r="F52" s="4" t="s">
        <v>14</v>
      </c>
      <c r="G52" s="4">
        <v>19</v>
      </c>
      <c r="H52" s="4">
        <v>92.89</v>
      </c>
      <c r="I52" s="4">
        <v>39.93</v>
      </c>
      <c r="J52" s="4">
        <v>24.87</v>
      </c>
      <c r="K52" s="4">
        <f t="shared" si="0"/>
        <v>1764.91</v>
      </c>
      <c r="L52" s="4">
        <f t="shared" si="1"/>
        <v>758.67</v>
      </c>
      <c r="M52" s="4">
        <f t="shared" si="2"/>
        <v>1006.24</v>
      </c>
      <c r="N52" s="4">
        <f t="shared" si="3"/>
        <v>57.0136720852621</v>
      </c>
      <c r="O52" s="4" t="str">
        <f t="shared" si="4"/>
        <v>2024-07</v>
      </c>
    </row>
    <row r="53" spans="1:15">
      <c r="A53" s="28">
        <v>45501</v>
      </c>
      <c r="B53" s="27">
        <v>45501</v>
      </c>
      <c r="C53" s="4">
        <v>1052</v>
      </c>
      <c r="D53" s="4" t="s">
        <v>44</v>
      </c>
      <c r="E53" s="4" t="s">
        <v>23</v>
      </c>
      <c r="F53" s="4" t="s">
        <v>17</v>
      </c>
      <c r="G53" s="4">
        <v>19</v>
      </c>
      <c r="H53" s="4">
        <v>39.04</v>
      </c>
      <c r="I53" s="4">
        <v>28.61</v>
      </c>
      <c r="J53" s="4">
        <v>167.19</v>
      </c>
      <c r="K53" s="4">
        <f t="shared" si="0"/>
        <v>741.76</v>
      </c>
      <c r="L53" s="4">
        <f t="shared" si="1"/>
        <v>543.59</v>
      </c>
      <c r="M53" s="4">
        <f t="shared" si="2"/>
        <v>198.17</v>
      </c>
      <c r="N53" s="4">
        <f t="shared" si="3"/>
        <v>26.7161885245902</v>
      </c>
      <c r="O53" s="4" t="str">
        <f t="shared" si="4"/>
        <v>2024-07</v>
      </c>
    </row>
    <row r="54" spans="1:15">
      <c r="A54" s="28">
        <v>45516</v>
      </c>
      <c r="B54" s="27">
        <v>45516</v>
      </c>
      <c r="C54" s="4">
        <v>1053</v>
      </c>
      <c r="D54" s="4" t="s">
        <v>42</v>
      </c>
      <c r="E54" s="4" t="s">
        <v>16</v>
      </c>
      <c r="F54" s="4" t="s">
        <v>17</v>
      </c>
      <c r="G54" s="4">
        <v>5</v>
      </c>
      <c r="H54" s="4">
        <v>119.67</v>
      </c>
      <c r="I54" s="4">
        <v>79.75</v>
      </c>
      <c r="J54" s="4">
        <v>193.81</v>
      </c>
      <c r="K54" s="4">
        <f t="shared" si="0"/>
        <v>598.35</v>
      </c>
      <c r="L54" s="4">
        <f t="shared" si="1"/>
        <v>398.75</v>
      </c>
      <c r="M54" s="4">
        <f t="shared" si="2"/>
        <v>199.6</v>
      </c>
      <c r="N54" s="4">
        <f t="shared" si="3"/>
        <v>33.3584022729172</v>
      </c>
      <c r="O54" s="4" t="str">
        <f t="shared" si="4"/>
        <v>2024-08</v>
      </c>
    </row>
    <row r="55" spans="1:15">
      <c r="A55" s="28">
        <v>45370</v>
      </c>
      <c r="B55" s="27">
        <v>45370</v>
      </c>
      <c r="C55" s="4">
        <v>1054</v>
      </c>
      <c r="D55" s="4" t="s">
        <v>33</v>
      </c>
      <c r="E55" s="4" t="s">
        <v>10</v>
      </c>
      <c r="F55" s="4" t="s">
        <v>25</v>
      </c>
      <c r="G55" s="4">
        <v>12</v>
      </c>
      <c r="H55" s="4">
        <v>99.87</v>
      </c>
      <c r="I55" s="4">
        <v>50.4</v>
      </c>
      <c r="J55" s="4">
        <v>62.9</v>
      </c>
      <c r="K55" s="4">
        <f t="shared" si="0"/>
        <v>1198.44</v>
      </c>
      <c r="L55" s="4">
        <f t="shared" si="1"/>
        <v>604.8</v>
      </c>
      <c r="M55" s="4">
        <f t="shared" si="2"/>
        <v>593.64</v>
      </c>
      <c r="N55" s="4">
        <f t="shared" si="3"/>
        <v>49.5343947131271</v>
      </c>
      <c r="O55" s="4" t="str">
        <f t="shared" si="4"/>
        <v>2024-03</v>
      </c>
    </row>
    <row r="56" spans="1:15">
      <c r="A56" s="28">
        <v>45327</v>
      </c>
      <c r="B56" s="27">
        <v>45327</v>
      </c>
      <c r="C56" s="4">
        <v>1055</v>
      </c>
      <c r="D56" s="4" t="s">
        <v>24</v>
      </c>
      <c r="E56" s="4" t="s">
        <v>23</v>
      </c>
      <c r="F56" s="4" t="s">
        <v>25</v>
      </c>
      <c r="G56" s="4">
        <v>15</v>
      </c>
      <c r="H56" s="4">
        <v>79.54</v>
      </c>
      <c r="I56" s="4">
        <v>31.15</v>
      </c>
      <c r="J56" s="4">
        <v>109.84</v>
      </c>
      <c r="K56" s="4">
        <f t="shared" si="0"/>
        <v>1193.1</v>
      </c>
      <c r="L56" s="4">
        <f t="shared" si="1"/>
        <v>467.25</v>
      </c>
      <c r="M56" s="4">
        <f t="shared" si="2"/>
        <v>725.85</v>
      </c>
      <c r="N56" s="4">
        <f t="shared" si="3"/>
        <v>60.8373145587126</v>
      </c>
      <c r="O56" s="4" t="str">
        <f t="shared" si="4"/>
        <v>2024-02</v>
      </c>
    </row>
    <row r="57" spans="1:15">
      <c r="A57" s="28">
        <v>45487</v>
      </c>
      <c r="B57" s="27">
        <v>45487</v>
      </c>
      <c r="C57" s="4">
        <v>1056</v>
      </c>
      <c r="D57" s="4" t="s">
        <v>24</v>
      </c>
      <c r="E57" s="4" t="s">
        <v>10</v>
      </c>
      <c r="F57" s="4" t="s">
        <v>11</v>
      </c>
      <c r="G57" s="4">
        <v>2</v>
      </c>
      <c r="H57" s="4">
        <v>36.27</v>
      </c>
      <c r="I57" s="4">
        <v>12.73</v>
      </c>
      <c r="J57" s="4">
        <v>189.41</v>
      </c>
      <c r="K57" s="4">
        <f t="shared" si="0"/>
        <v>72.54</v>
      </c>
      <c r="L57" s="4">
        <f t="shared" si="1"/>
        <v>25.46</v>
      </c>
      <c r="M57" s="4">
        <f t="shared" si="2"/>
        <v>47.08</v>
      </c>
      <c r="N57" s="4">
        <f t="shared" si="3"/>
        <v>64.9021229666391</v>
      </c>
      <c r="O57" s="4" t="str">
        <f t="shared" si="4"/>
        <v>2024-07</v>
      </c>
    </row>
    <row r="58" spans="1:15">
      <c r="A58" s="28">
        <v>45371</v>
      </c>
      <c r="B58" s="27">
        <v>45371</v>
      </c>
      <c r="C58" s="4">
        <v>1057</v>
      </c>
      <c r="D58" s="4" t="s">
        <v>26</v>
      </c>
      <c r="E58" s="4" t="s">
        <v>21</v>
      </c>
      <c r="F58" s="4" t="s">
        <v>17</v>
      </c>
      <c r="G58" s="4">
        <v>17</v>
      </c>
      <c r="H58" s="4">
        <v>27.62</v>
      </c>
      <c r="I58" s="4">
        <v>15.74</v>
      </c>
      <c r="J58" s="4">
        <v>149.26</v>
      </c>
      <c r="K58" s="4">
        <f t="shared" si="0"/>
        <v>469.54</v>
      </c>
      <c r="L58" s="4">
        <f t="shared" si="1"/>
        <v>267.58</v>
      </c>
      <c r="M58" s="4">
        <f t="shared" si="2"/>
        <v>201.96</v>
      </c>
      <c r="N58" s="4">
        <f t="shared" si="3"/>
        <v>43.0123099203476</v>
      </c>
      <c r="O58" s="4" t="str">
        <f t="shared" si="4"/>
        <v>2024-03</v>
      </c>
    </row>
    <row r="59" spans="1:15">
      <c r="A59" s="28">
        <v>45569</v>
      </c>
      <c r="B59" s="27">
        <v>45569</v>
      </c>
      <c r="C59" s="4">
        <v>1058</v>
      </c>
      <c r="D59" s="4" t="s">
        <v>37</v>
      </c>
      <c r="E59" s="4" t="s">
        <v>21</v>
      </c>
      <c r="F59" s="4" t="s">
        <v>11</v>
      </c>
      <c r="G59" s="4">
        <v>9</v>
      </c>
      <c r="H59" s="4">
        <v>102.45</v>
      </c>
      <c r="I59" s="4">
        <v>61.16</v>
      </c>
      <c r="J59" s="4">
        <v>173.05</v>
      </c>
      <c r="K59" s="4">
        <f t="shared" si="0"/>
        <v>922.05</v>
      </c>
      <c r="L59" s="4">
        <f t="shared" si="1"/>
        <v>550.44</v>
      </c>
      <c r="M59" s="4">
        <f t="shared" si="2"/>
        <v>371.61</v>
      </c>
      <c r="N59" s="4">
        <f t="shared" si="3"/>
        <v>40.3025866276232</v>
      </c>
      <c r="O59" s="4" t="str">
        <f t="shared" si="4"/>
        <v>2024-10</v>
      </c>
    </row>
    <row r="60" spans="1:15">
      <c r="A60" s="28">
        <v>45546</v>
      </c>
      <c r="B60" s="27">
        <v>45546</v>
      </c>
      <c r="C60" s="4">
        <v>1059</v>
      </c>
      <c r="D60" s="4" t="s">
        <v>29</v>
      </c>
      <c r="E60" s="4" t="s">
        <v>23</v>
      </c>
      <c r="F60" s="4" t="s">
        <v>14</v>
      </c>
      <c r="G60" s="4">
        <v>7</v>
      </c>
      <c r="H60" s="4">
        <v>73.75</v>
      </c>
      <c r="I60" s="4">
        <v>47.86</v>
      </c>
      <c r="J60" s="4">
        <v>8.73</v>
      </c>
      <c r="K60" s="4">
        <f t="shared" si="0"/>
        <v>516.25</v>
      </c>
      <c r="L60" s="4">
        <f t="shared" si="1"/>
        <v>335.02</v>
      </c>
      <c r="M60" s="4">
        <f t="shared" si="2"/>
        <v>181.23</v>
      </c>
      <c r="N60" s="4">
        <f t="shared" si="3"/>
        <v>35.1050847457627</v>
      </c>
      <c r="O60" s="4" t="str">
        <f t="shared" si="4"/>
        <v>2024-09</v>
      </c>
    </row>
    <row r="61" spans="1:15">
      <c r="A61" s="28">
        <v>45494</v>
      </c>
      <c r="B61" s="27">
        <v>45494</v>
      </c>
      <c r="C61" s="4">
        <v>1060</v>
      </c>
      <c r="D61" s="4" t="s">
        <v>45</v>
      </c>
      <c r="E61" s="4" t="s">
        <v>10</v>
      </c>
      <c r="F61" s="4" t="s">
        <v>25</v>
      </c>
      <c r="G61" s="4">
        <v>14</v>
      </c>
      <c r="H61" s="4">
        <v>22.77</v>
      </c>
      <c r="I61" s="4">
        <v>6.99</v>
      </c>
      <c r="J61" s="4">
        <v>28.83</v>
      </c>
      <c r="K61" s="4">
        <f t="shared" si="0"/>
        <v>318.78</v>
      </c>
      <c r="L61" s="4">
        <f t="shared" si="1"/>
        <v>97.86</v>
      </c>
      <c r="M61" s="4">
        <f t="shared" si="2"/>
        <v>220.92</v>
      </c>
      <c r="N61" s="4">
        <f t="shared" si="3"/>
        <v>69.3017127799736</v>
      </c>
      <c r="O61" s="4" t="str">
        <f t="shared" si="4"/>
        <v>2024-07</v>
      </c>
    </row>
    <row r="62" spans="1:15">
      <c r="A62" s="28">
        <v>45629</v>
      </c>
      <c r="B62" s="27">
        <v>45629</v>
      </c>
      <c r="C62" s="4">
        <v>1061</v>
      </c>
      <c r="D62" s="4" t="s">
        <v>42</v>
      </c>
      <c r="E62" s="4" t="s">
        <v>21</v>
      </c>
      <c r="F62" s="4" t="s">
        <v>11</v>
      </c>
      <c r="G62" s="4">
        <v>21</v>
      </c>
      <c r="H62" s="4">
        <v>104.81</v>
      </c>
      <c r="I62" s="4">
        <v>46.38</v>
      </c>
      <c r="J62" s="4">
        <v>143.74</v>
      </c>
      <c r="K62" s="4">
        <f t="shared" si="0"/>
        <v>2201.01</v>
      </c>
      <c r="L62" s="4">
        <f t="shared" si="1"/>
        <v>973.98</v>
      </c>
      <c r="M62" s="4">
        <f t="shared" si="2"/>
        <v>1227.03</v>
      </c>
      <c r="N62" s="4">
        <f t="shared" si="3"/>
        <v>55.7484972807938</v>
      </c>
      <c r="O62" s="4" t="str">
        <f t="shared" si="4"/>
        <v>2024-12</v>
      </c>
    </row>
    <row r="63" spans="1:15">
      <c r="A63" s="28">
        <v>45479</v>
      </c>
      <c r="B63" s="27">
        <v>45479</v>
      </c>
      <c r="C63" s="4">
        <v>1062</v>
      </c>
      <c r="D63" s="4" t="s">
        <v>36</v>
      </c>
      <c r="E63" s="4" t="s">
        <v>21</v>
      </c>
      <c r="F63" s="4" t="s">
        <v>17</v>
      </c>
      <c r="G63" s="4">
        <v>24</v>
      </c>
      <c r="H63" s="4">
        <v>80.44</v>
      </c>
      <c r="I63" s="4">
        <v>40.19</v>
      </c>
      <c r="J63" s="4">
        <v>138.8</v>
      </c>
      <c r="K63" s="4">
        <f t="shared" si="0"/>
        <v>1930.56</v>
      </c>
      <c r="L63" s="4">
        <f t="shared" si="1"/>
        <v>964.56</v>
      </c>
      <c r="M63" s="4">
        <f t="shared" si="2"/>
        <v>966</v>
      </c>
      <c r="N63" s="4">
        <f t="shared" si="3"/>
        <v>50.0372948781701</v>
      </c>
      <c r="O63" s="4" t="str">
        <f t="shared" si="4"/>
        <v>2024-07</v>
      </c>
    </row>
    <row r="64" spans="1:15">
      <c r="A64" s="28">
        <v>45482</v>
      </c>
      <c r="B64" s="27">
        <v>45482</v>
      </c>
      <c r="C64" s="4">
        <v>1063</v>
      </c>
      <c r="D64" s="4" t="s">
        <v>43</v>
      </c>
      <c r="E64" s="4" t="s">
        <v>21</v>
      </c>
      <c r="F64" s="4" t="s">
        <v>17</v>
      </c>
      <c r="G64" s="4">
        <v>25</v>
      </c>
      <c r="H64" s="4">
        <v>31.45</v>
      </c>
      <c r="I64" s="4">
        <v>18.06</v>
      </c>
      <c r="J64" s="4">
        <v>76.51</v>
      </c>
      <c r="K64" s="4">
        <f t="shared" si="0"/>
        <v>786.25</v>
      </c>
      <c r="L64" s="4">
        <f t="shared" si="1"/>
        <v>451.5</v>
      </c>
      <c r="M64" s="4">
        <f t="shared" si="2"/>
        <v>334.75</v>
      </c>
      <c r="N64" s="4">
        <f t="shared" si="3"/>
        <v>42.5755166931638</v>
      </c>
      <c r="O64" s="4" t="str">
        <f t="shared" si="4"/>
        <v>2024-07</v>
      </c>
    </row>
    <row r="65" spans="1:15">
      <c r="A65" s="28">
        <v>45447</v>
      </c>
      <c r="B65" s="27">
        <v>45447</v>
      </c>
      <c r="C65" s="4">
        <v>1064</v>
      </c>
      <c r="D65" s="4" t="s">
        <v>12</v>
      </c>
      <c r="E65" s="4" t="s">
        <v>21</v>
      </c>
      <c r="F65" s="4" t="s">
        <v>17</v>
      </c>
      <c r="G65" s="4">
        <v>21</v>
      </c>
      <c r="H65" s="4">
        <v>71.03</v>
      </c>
      <c r="I65" s="4">
        <v>51.52</v>
      </c>
      <c r="J65" s="4">
        <v>197.53</v>
      </c>
      <c r="K65" s="4">
        <f t="shared" si="0"/>
        <v>1491.63</v>
      </c>
      <c r="L65" s="4">
        <f t="shared" si="1"/>
        <v>1081.92</v>
      </c>
      <c r="M65" s="4">
        <f t="shared" si="2"/>
        <v>409.71</v>
      </c>
      <c r="N65" s="4">
        <f t="shared" si="3"/>
        <v>27.4672673518232</v>
      </c>
      <c r="O65" s="4" t="str">
        <f t="shared" si="4"/>
        <v>2024-06</v>
      </c>
    </row>
    <row r="66" spans="1:15">
      <c r="A66" s="28">
        <v>45435</v>
      </c>
      <c r="B66" s="27">
        <v>45435</v>
      </c>
      <c r="C66" s="4">
        <v>1065</v>
      </c>
      <c r="D66" s="4" t="s">
        <v>47</v>
      </c>
      <c r="E66" s="4" t="s">
        <v>10</v>
      </c>
      <c r="F66" s="4" t="s">
        <v>11</v>
      </c>
      <c r="G66" s="4">
        <v>18</v>
      </c>
      <c r="H66" s="4">
        <v>50.77</v>
      </c>
      <c r="I66" s="4">
        <v>31.21</v>
      </c>
      <c r="J66" s="4">
        <v>4.39</v>
      </c>
      <c r="K66" s="4">
        <f t="shared" si="0"/>
        <v>913.86</v>
      </c>
      <c r="L66" s="4">
        <f t="shared" si="1"/>
        <v>561.78</v>
      </c>
      <c r="M66" s="4">
        <f t="shared" si="2"/>
        <v>352.08</v>
      </c>
      <c r="N66" s="4">
        <f t="shared" si="3"/>
        <v>38.5266889895608</v>
      </c>
      <c r="O66" s="4" t="str">
        <f t="shared" si="4"/>
        <v>2024-05</v>
      </c>
    </row>
    <row r="67" spans="1:15">
      <c r="A67" s="28">
        <v>45354</v>
      </c>
      <c r="B67" s="27">
        <v>45354</v>
      </c>
      <c r="C67" s="4">
        <v>1066</v>
      </c>
      <c r="D67" s="4" t="s">
        <v>34</v>
      </c>
      <c r="E67" s="4" t="s">
        <v>16</v>
      </c>
      <c r="F67" s="4" t="s">
        <v>25</v>
      </c>
      <c r="G67" s="4">
        <v>7</v>
      </c>
      <c r="H67" s="4">
        <v>77.56</v>
      </c>
      <c r="I67" s="4">
        <v>45.49</v>
      </c>
      <c r="J67" s="4">
        <v>124.18</v>
      </c>
      <c r="K67" s="4">
        <f t="shared" ref="K67:K130" si="5">G67*H67</f>
        <v>542.92</v>
      </c>
      <c r="L67" s="4">
        <f t="shared" ref="L67:L130" si="6">I67*G67</f>
        <v>318.43</v>
      </c>
      <c r="M67" s="4">
        <f t="shared" ref="M67:M130" si="7">K67-L67</f>
        <v>224.49</v>
      </c>
      <c r="N67" s="4">
        <f t="shared" ref="N67:N130" si="8">M67/K67*100</f>
        <v>41.3486333161423</v>
      </c>
      <c r="O67" s="4" t="str">
        <f t="shared" ref="O67:O130" si="9">TEXT(A67,"YYYY-MM")</f>
        <v>2024-03</v>
      </c>
    </row>
    <row r="68" spans="1:15">
      <c r="A68" s="28">
        <v>45398</v>
      </c>
      <c r="B68" s="27">
        <v>45398</v>
      </c>
      <c r="C68" s="4">
        <v>1067</v>
      </c>
      <c r="D68" s="4" t="s">
        <v>35</v>
      </c>
      <c r="E68" s="4" t="s">
        <v>16</v>
      </c>
      <c r="F68" s="4" t="s">
        <v>25</v>
      </c>
      <c r="G68" s="4">
        <v>2</v>
      </c>
      <c r="H68" s="4">
        <v>110.24</v>
      </c>
      <c r="I68" s="4">
        <v>53.68</v>
      </c>
      <c r="J68" s="4">
        <v>40.16</v>
      </c>
      <c r="K68" s="4">
        <f t="shared" si="5"/>
        <v>220.48</v>
      </c>
      <c r="L68" s="4">
        <f t="shared" si="6"/>
        <v>107.36</v>
      </c>
      <c r="M68" s="4">
        <f t="shared" si="7"/>
        <v>113.12</v>
      </c>
      <c r="N68" s="4">
        <f t="shared" si="8"/>
        <v>51.3062409288824</v>
      </c>
      <c r="O68" s="4" t="str">
        <f t="shared" si="9"/>
        <v>2024-04</v>
      </c>
    </row>
    <row r="69" spans="1:15">
      <c r="A69" s="28">
        <v>45523</v>
      </c>
      <c r="B69" s="27">
        <v>45523</v>
      </c>
      <c r="C69" s="4">
        <v>1068</v>
      </c>
      <c r="D69" s="4" t="s">
        <v>45</v>
      </c>
      <c r="E69" s="4" t="s">
        <v>10</v>
      </c>
      <c r="F69" s="4" t="s">
        <v>17</v>
      </c>
      <c r="G69" s="4">
        <v>9</v>
      </c>
      <c r="H69" s="4">
        <v>92.63</v>
      </c>
      <c r="I69" s="4">
        <v>32.59</v>
      </c>
      <c r="J69" s="4">
        <v>192.58</v>
      </c>
      <c r="K69" s="4">
        <f t="shared" si="5"/>
        <v>833.67</v>
      </c>
      <c r="L69" s="4">
        <f t="shared" si="6"/>
        <v>293.31</v>
      </c>
      <c r="M69" s="4">
        <f t="shared" si="7"/>
        <v>540.36</v>
      </c>
      <c r="N69" s="4">
        <f t="shared" si="8"/>
        <v>64.8170139263737</v>
      </c>
      <c r="O69" s="4" t="str">
        <f t="shared" si="9"/>
        <v>2024-08</v>
      </c>
    </row>
    <row r="70" spans="1:15">
      <c r="A70" s="28">
        <v>45456</v>
      </c>
      <c r="B70" s="27">
        <v>45456</v>
      </c>
      <c r="C70" s="4">
        <v>1069</v>
      </c>
      <c r="D70" s="4" t="s">
        <v>32</v>
      </c>
      <c r="E70" s="4" t="s">
        <v>21</v>
      </c>
      <c r="F70" s="4" t="s">
        <v>25</v>
      </c>
      <c r="G70" s="4">
        <v>14</v>
      </c>
      <c r="H70" s="4">
        <v>51.81</v>
      </c>
      <c r="I70" s="4">
        <v>21.66</v>
      </c>
      <c r="J70" s="4">
        <v>76.21</v>
      </c>
      <c r="K70" s="4">
        <f t="shared" si="5"/>
        <v>725.34</v>
      </c>
      <c r="L70" s="4">
        <f t="shared" si="6"/>
        <v>303.24</v>
      </c>
      <c r="M70" s="4">
        <f t="shared" si="7"/>
        <v>422.1</v>
      </c>
      <c r="N70" s="4">
        <f t="shared" si="8"/>
        <v>58.1933989577302</v>
      </c>
      <c r="O70" s="4" t="str">
        <f t="shared" si="9"/>
        <v>2024-06</v>
      </c>
    </row>
    <row r="71" spans="1:15">
      <c r="A71" s="28">
        <v>45574</v>
      </c>
      <c r="B71" s="27">
        <v>45574</v>
      </c>
      <c r="C71" s="4">
        <v>1070</v>
      </c>
      <c r="D71" s="4" t="s">
        <v>24</v>
      </c>
      <c r="E71" s="4" t="s">
        <v>21</v>
      </c>
      <c r="F71" s="4" t="s">
        <v>11</v>
      </c>
      <c r="G71" s="4">
        <v>14</v>
      </c>
      <c r="H71" s="4">
        <v>110.21</v>
      </c>
      <c r="I71" s="4">
        <v>53.31</v>
      </c>
      <c r="J71" s="4">
        <v>27.96</v>
      </c>
      <c r="K71" s="4">
        <f t="shared" si="5"/>
        <v>1542.94</v>
      </c>
      <c r="L71" s="4">
        <f t="shared" si="6"/>
        <v>746.34</v>
      </c>
      <c r="M71" s="4">
        <f t="shared" si="7"/>
        <v>796.6</v>
      </c>
      <c r="N71" s="4">
        <f t="shared" si="8"/>
        <v>51.6287088285999</v>
      </c>
      <c r="O71" s="4" t="str">
        <f t="shared" si="9"/>
        <v>2024-10</v>
      </c>
    </row>
    <row r="72" spans="1:15">
      <c r="A72" s="28">
        <v>45534</v>
      </c>
      <c r="B72" s="27">
        <v>45534</v>
      </c>
      <c r="C72" s="4">
        <v>1071</v>
      </c>
      <c r="D72" s="4" t="s">
        <v>9</v>
      </c>
      <c r="E72" s="4" t="s">
        <v>10</v>
      </c>
      <c r="F72" s="4" t="s">
        <v>17</v>
      </c>
      <c r="G72" s="4">
        <v>23</v>
      </c>
      <c r="H72" s="4">
        <v>28.69</v>
      </c>
      <c r="I72" s="4">
        <v>9.89</v>
      </c>
      <c r="J72" s="4">
        <v>97.87</v>
      </c>
      <c r="K72" s="4">
        <f t="shared" si="5"/>
        <v>659.87</v>
      </c>
      <c r="L72" s="4">
        <f t="shared" si="6"/>
        <v>227.47</v>
      </c>
      <c r="M72" s="4">
        <f t="shared" si="7"/>
        <v>432.4</v>
      </c>
      <c r="N72" s="4">
        <f t="shared" si="8"/>
        <v>65.5280585569885</v>
      </c>
      <c r="O72" s="4" t="str">
        <f t="shared" si="9"/>
        <v>2024-08</v>
      </c>
    </row>
    <row r="73" spans="1:15">
      <c r="A73" s="28">
        <v>45508</v>
      </c>
      <c r="B73" s="27">
        <v>45508</v>
      </c>
      <c r="C73" s="4">
        <v>1072</v>
      </c>
      <c r="D73" s="4" t="s">
        <v>12</v>
      </c>
      <c r="E73" s="4" t="s">
        <v>23</v>
      </c>
      <c r="F73" s="4" t="s">
        <v>11</v>
      </c>
      <c r="G73" s="4">
        <v>11</v>
      </c>
      <c r="H73" s="4">
        <v>70.8</v>
      </c>
      <c r="I73" s="4">
        <v>32.67</v>
      </c>
      <c r="J73" s="4">
        <v>79.63</v>
      </c>
      <c r="K73" s="4">
        <f t="shared" si="5"/>
        <v>778.8</v>
      </c>
      <c r="L73" s="4">
        <f t="shared" si="6"/>
        <v>359.37</v>
      </c>
      <c r="M73" s="4">
        <f t="shared" si="7"/>
        <v>419.43</v>
      </c>
      <c r="N73" s="4">
        <f t="shared" si="8"/>
        <v>53.8559322033898</v>
      </c>
      <c r="O73" s="4" t="str">
        <f t="shared" si="9"/>
        <v>2024-08</v>
      </c>
    </row>
    <row r="74" spans="1:15">
      <c r="A74" s="28">
        <v>45585</v>
      </c>
      <c r="B74" s="27">
        <v>45585</v>
      </c>
      <c r="C74" s="4">
        <v>1073</v>
      </c>
      <c r="D74" s="4" t="s">
        <v>18</v>
      </c>
      <c r="E74" s="4" t="s">
        <v>10</v>
      </c>
      <c r="F74" s="4" t="s">
        <v>11</v>
      </c>
      <c r="G74" s="4">
        <v>10</v>
      </c>
      <c r="H74" s="4">
        <v>38.31</v>
      </c>
      <c r="I74" s="4">
        <v>21.23</v>
      </c>
      <c r="J74" s="4">
        <v>13.72</v>
      </c>
      <c r="K74" s="4">
        <f t="shared" si="5"/>
        <v>383.1</v>
      </c>
      <c r="L74" s="4">
        <f t="shared" si="6"/>
        <v>212.3</v>
      </c>
      <c r="M74" s="4">
        <f t="shared" si="7"/>
        <v>170.8</v>
      </c>
      <c r="N74" s="4">
        <f t="shared" si="8"/>
        <v>44.5836596188985</v>
      </c>
      <c r="O74" s="4" t="str">
        <f t="shared" si="9"/>
        <v>2024-10</v>
      </c>
    </row>
    <row r="75" spans="1:15">
      <c r="A75" s="28">
        <v>45581</v>
      </c>
      <c r="B75" s="27">
        <v>45581</v>
      </c>
      <c r="C75" s="4">
        <v>1074</v>
      </c>
      <c r="D75" s="4" t="s">
        <v>9</v>
      </c>
      <c r="E75" s="4" t="s">
        <v>21</v>
      </c>
      <c r="F75" s="4" t="s">
        <v>11</v>
      </c>
      <c r="G75" s="4">
        <v>4</v>
      </c>
      <c r="H75" s="4">
        <v>118.65</v>
      </c>
      <c r="I75" s="4">
        <v>78.23</v>
      </c>
      <c r="J75" s="4">
        <v>21.99</v>
      </c>
      <c r="K75" s="4">
        <f t="shared" si="5"/>
        <v>474.6</v>
      </c>
      <c r="L75" s="4">
        <f t="shared" si="6"/>
        <v>312.92</v>
      </c>
      <c r="M75" s="4">
        <f t="shared" si="7"/>
        <v>161.68</v>
      </c>
      <c r="N75" s="4">
        <f t="shared" si="8"/>
        <v>34.0665823851665</v>
      </c>
      <c r="O75" s="4" t="str">
        <f t="shared" si="9"/>
        <v>2024-10</v>
      </c>
    </row>
    <row r="76" spans="1:15">
      <c r="A76" s="28">
        <v>45318</v>
      </c>
      <c r="B76" s="27">
        <v>45318</v>
      </c>
      <c r="C76" s="4">
        <v>1075</v>
      </c>
      <c r="D76" s="4" t="s">
        <v>9</v>
      </c>
      <c r="E76" s="4" t="s">
        <v>48</v>
      </c>
      <c r="F76" s="4" t="s">
        <v>14</v>
      </c>
      <c r="G76" s="4">
        <v>16</v>
      </c>
      <c r="H76" s="4">
        <v>24.27</v>
      </c>
      <c r="I76" s="4">
        <v>12.18</v>
      </c>
      <c r="J76" s="4">
        <v>72.41</v>
      </c>
      <c r="K76" s="4">
        <f t="shared" si="5"/>
        <v>388.32</v>
      </c>
      <c r="L76" s="4">
        <f t="shared" si="6"/>
        <v>194.88</v>
      </c>
      <c r="M76" s="4">
        <f t="shared" si="7"/>
        <v>193.44</v>
      </c>
      <c r="N76" s="4">
        <f t="shared" si="8"/>
        <v>49.814585908529</v>
      </c>
      <c r="O76" s="4" t="str">
        <f t="shared" si="9"/>
        <v>2024-01</v>
      </c>
    </row>
    <row r="77" spans="1:15">
      <c r="A77" s="28">
        <v>45595</v>
      </c>
      <c r="B77" s="27">
        <v>45595</v>
      </c>
      <c r="C77" s="4">
        <v>1076</v>
      </c>
      <c r="D77" s="4" t="s">
        <v>39</v>
      </c>
      <c r="E77" s="4" t="s">
        <v>21</v>
      </c>
      <c r="F77" s="4" t="s">
        <v>11</v>
      </c>
      <c r="G77" s="4">
        <v>12</v>
      </c>
      <c r="H77" s="4">
        <v>58.04</v>
      </c>
      <c r="I77" s="4">
        <v>36.02</v>
      </c>
      <c r="J77" s="4">
        <v>88.71</v>
      </c>
      <c r="K77" s="4">
        <f t="shared" si="5"/>
        <v>696.48</v>
      </c>
      <c r="L77" s="4">
        <f t="shared" si="6"/>
        <v>432.24</v>
      </c>
      <c r="M77" s="4">
        <f t="shared" si="7"/>
        <v>264.24</v>
      </c>
      <c r="N77" s="4">
        <f t="shared" si="8"/>
        <v>37.9393521709166</v>
      </c>
      <c r="O77" s="4" t="str">
        <f t="shared" si="9"/>
        <v>2024-10</v>
      </c>
    </row>
    <row r="78" spans="1:15">
      <c r="A78" s="28">
        <v>45512</v>
      </c>
      <c r="B78" s="27">
        <v>45512</v>
      </c>
      <c r="C78" s="4">
        <v>1077</v>
      </c>
      <c r="D78" s="4" t="s">
        <v>42</v>
      </c>
      <c r="E78" s="4" t="s">
        <v>21</v>
      </c>
      <c r="F78" s="4" t="s">
        <v>25</v>
      </c>
      <c r="G78" s="4">
        <v>19</v>
      </c>
      <c r="H78" s="4">
        <v>58.46</v>
      </c>
      <c r="I78" s="4">
        <v>20.55</v>
      </c>
      <c r="J78" s="4">
        <v>130.94</v>
      </c>
      <c r="K78" s="4">
        <f t="shared" si="5"/>
        <v>1110.74</v>
      </c>
      <c r="L78" s="4">
        <f t="shared" si="6"/>
        <v>390.45</v>
      </c>
      <c r="M78" s="4">
        <f t="shared" si="7"/>
        <v>720.29</v>
      </c>
      <c r="N78" s="4">
        <f t="shared" si="8"/>
        <v>64.8477591515566</v>
      </c>
      <c r="O78" s="4" t="str">
        <f t="shared" si="9"/>
        <v>2024-08</v>
      </c>
    </row>
    <row r="79" spans="1:15">
      <c r="A79" s="28">
        <v>45586</v>
      </c>
      <c r="B79" s="27">
        <v>45586</v>
      </c>
      <c r="C79" s="4">
        <v>1078</v>
      </c>
      <c r="D79" s="4" t="s">
        <v>12</v>
      </c>
      <c r="E79" s="4" t="s">
        <v>10</v>
      </c>
      <c r="F79" s="4" t="s">
        <v>17</v>
      </c>
      <c r="G79" s="4">
        <v>3</v>
      </c>
      <c r="H79" s="4">
        <v>45.76</v>
      </c>
      <c r="I79" s="4">
        <v>18.98</v>
      </c>
      <c r="J79" s="4">
        <v>190.72</v>
      </c>
      <c r="K79" s="4">
        <f t="shared" si="5"/>
        <v>137.28</v>
      </c>
      <c r="L79" s="4">
        <f t="shared" si="6"/>
        <v>56.94</v>
      </c>
      <c r="M79" s="4">
        <f t="shared" si="7"/>
        <v>80.34</v>
      </c>
      <c r="N79" s="4">
        <f t="shared" si="8"/>
        <v>58.5227272727273</v>
      </c>
      <c r="O79" s="4" t="str">
        <f t="shared" si="9"/>
        <v>2024-10</v>
      </c>
    </row>
    <row r="80" spans="1:15">
      <c r="A80" s="28">
        <v>45515</v>
      </c>
      <c r="B80" s="27">
        <v>45515</v>
      </c>
      <c r="C80" s="4">
        <v>1079</v>
      </c>
      <c r="D80" s="4" t="s">
        <v>18</v>
      </c>
      <c r="E80" s="4" t="s">
        <v>23</v>
      </c>
      <c r="F80" s="4" t="s">
        <v>14</v>
      </c>
      <c r="G80" s="4">
        <v>18</v>
      </c>
      <c r="H80" s="4">
        <v>115.32</v>
      </c>
      <c r="I80" s="4">
        <v>69.37</v>
      </c>
      <c r="J80" s="4">
        <v>82.16</v>
      </c>
      <c r="K80" s="4">
        <f t="shared" si="5"/>
        <v>2075.76</v>
      </c>
      <c r="L80" s="4">
        <f t="shared" si="6"/>
        <v>1248.66</v>
      </c>
      <c r="M80" s="4">
        <f t="shared" si="7"/>
        <v>827.1</v>
      </c>
      <c r="N80" s="4">
        <f t="shared" si="8"/>
        <v>39.8456468955949</v>
      </c>
      <c r="O80" s="4" t="str">
        <f t="shared" si="9"/>
        <v>2024-08</v>
      </c>
    </row>
    <row r="81" spans="1:15">
      <c r="A81" s="28">
        <v>45622</v>
      </c>
      <c r="B81" s="27">
        <v>45622</v>
      </c>
      <c r="C81" s="4">
        <v>1080</v>
      </c>
      <c r="D81" s="4" t="s">
        <v>47</v>
      </c>
      <c r="E81" s="4" t="s">
        <v>21</v>
      </c>
      <c r="F81" s="4" t="s">
        <v>14</v>
      </c>
      <c r="G81" s="4">
        <v>15</v>
      </c>
      <c r="H81" s="4">
        <v>36.22</v>
      </c>
      <c r="I81" s="4">
        <v>24.64</v>
      </c>
      <c r="J81" s="4">
        <v>73.51</v>
      </c>
      <c r="K81" s="4">
        <f t="shared" si="5"/>
        <v>543.3</v>
      </c>
      <c r="L81" s="4">
        <f t="shared" si="6"/>
        <v>369.6</v>
      </c>
      <c r="M81" s="4">
        <f t="shared" si="7"/>
        <v>173.7</v>
      </c>
      <c r="N81" s="4">
        <f t="shared" si="8"/>
        <v>31.9712865819989</v>
      </c>
      <c r="O81" s="4" t="str">
        <f t="shared" si="9"/>
        <v>2024-11</v>
      </c>
    </row>
    <row r="82" spans="1:15">
      <c r="A82" s="28">
        <v>45321</v>
      </c>
      <c r="B82" s="27">
        <v>45321</v>
      </c>
      <c r="C82" s="4">
        <v>1081</v>
      </c>
      <c r="D82" s="4" t="s">
        <v>29</v>
      </c>
      <c r="E82" s="4" t="s">
        <v>16</v>
      </c>
      <c r="F82" s="4" t="s">
        <v>25</v>
      </c>
      <c r="G82" s="4">
        <v>8</v>
      </c>
      <c r="H82" s="4">
        <v>87.89</v>
      </c>
      <c r="I82" s="4">
        <v>39.81</v>
      </c>
      <c r="J82" s="4">
        <v>1.22</v>
      </c>
      <c r="K82" s="4">
        <f t="shared" si="5"/>
        <v>703.12</v>
      </c>
      <c r="L82" s="4">
        <f t="shared" si="6"/>
        <v>318.48</v>
      </c>
      <c r="M82" s="4">
        <f t="shared" si="7"/>
        <v>384.64</v>
      </c>
      <c r="N82" s="4">
        <f t="shared" si="8"/>
        <v>54.7047445670725</v>
      </c>
      <c r="O82" s="4" t="str">
        <f t="shared" si="9"/>
        <v>2024-01</v>
      </c>
    </row>
    <row r="83" spans="1:15">
      <c r="A83" s="28">
        <v>45601</v>
      </c>
      <c r="B83" s="27">
        <v>45601</v>
      </c>
      <c r="C83" s="4">
        <v>1082</v>
      </c>
      <c r="D83" s="4" t="s">
        <v>19</v>
      </c>
      <c r="E83" s="4" t="s">
        <v>16</v>
      </c>
      <c r="F83" s="4" t="s">
        <v>17</v>
      </c>
      <c r="G83" s="4">
        <v>10</v>
      </c>
      <c r="H83" s="4">
        <v>29</v>
      </c>
      <c r="I83" s="4">
        <v>12.93</v>
      </c>
      <c r="J83" s="4">
        <v>188.28</v>
      </c>
      <c r="K83" s="4">
        <f t="shared" si="5"/>
        <v>290</v>
      </c>
      <c r="L83" s="4">
        <f t="shared" si="6"/>
        <v>129.3</v>
      </c>
      <c r="M83" s="4">
        <f t="shared" si="7"/>
        <v>160.7</v>
      </c>
      <c r="N83" s="4">
        <f t="shared" si="8"/>
        <v>55.4137931034483</v>
      </c>
      <c r="O83" s="4" t="str">
        <f t="shared" si="9"/>
        <v>2024-11</v>
      </c>
    </row>
    <row r="84" spans="1:15">
      <c r="A84" s="28">
        <v>45559</v>
      </c>
      <c r="B84" s="27">
        <v>45559</v>
      </c>
      <c r="C84" s="4">
        <v>1083</v>
      </c>
      <c r="D84" s="4" t="s">
        <v>39</v>
      </c>
      <c r="E84" s="4" t="s">
        <v>16</v>
      </c>
      <c r="F84" s="4" t="s">
        <v>17</v>
      </c>
      <c r="G84" s="4">
        <v>13</v>
      </c>
      <c r="H84" s="4">
        <v>41.5</v>
      </c>
      <c r="I84" s="4">
        <v>14.58</v>
      </c>
      <c r="J84" s="4">
        <v>85.98</v>
      </c>
      <c r="K84" s="4">
        <f t="shared" si="5"/>
        <v>539.5</v>
      </c>
      <c r="L84" s="4">
        <f t="shared" si="6"/>
        <v>189.54</v>
      </c>
      <c r="M84" s="4">
        <f t="shared" si="7"/>
        <v>349.96</v>
      </c>
      <c r="N84" s="4">
        <f t="shared" si="8"/>
        <v>64.8674698795181</v>
      </c>
      <c r="O84" s="4" t="str">
        <f t="shared" si="9"/>
        <v>2024-09</v>
      </c>
    </row>
    <row r="85" spans="1:15">
      <c r="A85" s="28">
        <v>45628</v>
      </c>
      <c r="B85" s="27">
        <v>45628</v>
      </c>
      <c r="C85" s="4">
        <v>1084</v>
      </c>
      <c r="D85" s="4" t="s">
        <v>39</v>
      </c>
      <c r="E85" s="4" t="s">
        <v>10</v>
      </c>
      <c r="F85" s="4" t="s">
        <v>11</v>
      </c>
      <c r="G85" s="4">
        <v>6</v>
      </c>
      <c r="H85" s="4">
        <v>94.87</v>
      </c>
      <c r="I85" s="4">
        <v>40.82</v>
      </c>
      <c r="J85" s="4">
        <v>24</v>
      </c>
      <c r="K85" s="4">
        <f t="shared" si="5"/>
        <v>569.22</v>
      </c>
      <c r="L85" s="4">
        <f t="shared" si="6"/>
        <v>244.92</v>
      </c>
      <c r="M85" s="4">
        <f t="shared" si="7"/>
        <v>324.3</v>
      </c>
      <c r="N85" s="4">
        <f t="shared" si="8"/>
        <v>56.9726994835037</v>
      </c>
      <c r="O85" s="4" t="str">
        <f t="shared" si="9"/>
        <v>2024-12</v>
      </c>
    </row>
    <row r="86" spans="1:15">
      <c r="A86" s="28">
        <v>45362</v>
      </c>
      <c r="B86" s="27">
        <v>45362</v>
      </c>
      <c r="C86" s="4">
        <v>1085</v>
      </c>
      <c r="D86" s="4" t="s">
        <v>20</v>
      </c>
      <c r="E86" s="4" t="s">
        <v>10</v>
      </c>
      <c r="F86" s="4" t="s">
        <v>25</v>
      </c>
      <c r="G86" s="4">
        <v>23</v>
      </c>
      <c r="H86" s="4">
        <v>16.57</v>
      </c>
      <c r="I86" s="4">
        <v>8</v>
      </c>
      <c r="J86" s="4">
        <v>184.23</v>
      </c>
      <c r="K86" s="4">
        <f t="shared" si="5"/>
        <v>381.11</v>
      </c>
      <c r="L86" s="4">
        <f t="shared" si="6"/>
        <v>184</v>
      </c>
      <c r="M86" s="4">
        <f t="shared" si="7"/>
        <v>197.11</v>
      </c>
      <c r="N86" s="4">
        <f t="shared" si="8"/>
        <v>51.7199758599879</v>
      </c>
      <c r="O86" s="4" t="str">
        <f t="shared" si="9"/>
        <v>2024-03</v>
      </c>
    </row>
    <row r="87" spans="1:15">
      <c r="A87" s="28">
        <v>45611</v>
      </c>
      <c r="B87" s="27">
        <v>45611</v>
      </c>
      <c r="C87" s="4">
        <v>1086</v>
      </c>
      <c r="D87" s="4" t="s">
        <v>36</v>
      </c>
      <c r="E87" s="4" t="s">
        <v>23</v>
      </c>
      <c r="F87" s="4" t="s">
        <v>25</v>
      </c>
      <c r="G87" s="4">
        <v>19</v>
      </c>
      <c r="H87" s="4">
        <v>61.69</v>
      </c>
      <c r="I87" s="4">
        <v>28.55</v>
      </c>
      <c r="J87" s="4">
        <v>87.34</v>
      </c>
      <c r="K87" s="4">
        <f t="shared" si="5"/>
        <v>1172.11</v>
      </c>
      <c r="L87" s="4">
        <f t="shared" si="6"/>
        <v>542.45</v>
      </c>
      <c r="M87" s="4">
        <f t="shared" si="7"/>
        <v>629.66</v>
      </c>
      <c r="N87" s="4">
        <f t="shared" si="8"/>
        <v>53.7202139730913</v>
      </c>
      <c r="O87" s="4" t="str">
        <f t="shared" si="9"/>
        <v>2024-11</v>
      </c>
    </row>
    <row r="88" spans="1:15">
      <c r="A88" s="28">
        <v>45532</v>
      </c>
      <c r="B88" s="27">
        <v>45532</v>
      </c>
      <c r="C88" s="4">
        <v>1087</v>
      </c>
      <c r="D88" s="4" t="s">
        <v>32</v>
      </c>
      <c r="E88" s="4" t="s">
        <v>21</v>
      </c>
      <c r="F88" s="4" t="s">
        <v>14</v>
      </c>
      <c r="G88" s="4">
        <v>20</v>
      </c>
      <c r="H88" s="4">
        <v>24.31</v>
      </c>
      <c r="I88" s="4">
        <v>17.2</v>
      </c>
      <c r="J88" s="4">
        <v>69.88</v>
      </c>
      <c r="K88" s="4">
        <f t="shared" si="5"/>
        <v>486.2</v>
      </c>
      <c r="L88" s="4">
        <f t="shared" si="6"/>
        <v>344</v>
      </c>
      <c r="M88" s="4">
        <f t="shared" si="7"/>
        <v>142.2</v>
      </c>
      <c r="N88" s="4">
        <f t="shared" si="8"/>
        <v>29.2472233648704</v>
      </c>
      <c r="O88" s="4" t="str">
        <f t="shared" si="9"/>
        <v>2024-08</v>
      </c>
    </row>
    <row r="89" spans="1:15">
      <c r="A89" s="28">
        <v>45620</v>
      </c>
      <c r="B89" s="27">
        <v>45620</v>
      </c>
      <c r="C89" s="4">
        <v>1088</v>
      </c>
      <c r="D89" s="4" t="s">
        <v>22</v>
      </c>
      <c r="E89" s="4" t="s">
        <v>21</v>
      </c>
      <c r="F89" s="4" t="s">
        <v>11</v>
      </c>
      <c r="G89" s="4">
        <v>24</v>
      </c>
      <c r="H89" s="4">
        <v>79.82</v>
      </c>
      <c r="I89" s="4">
        <v>44.19</v>
      </c>
      <c r="J89" s="4">
        <v>115.89</v>
      </c>
      <c r="K89" s="4">
        <f t="shared" si="5"/>
        <v>1915.68</v>
      </c>
      <c r="L89" s="4">
        <f t="shared" si="6"/>
        <v>1060.56</v>
      </c>
      <c r="M89" s="4">
        <f t="shared" si="7"/>
        <v>855.12</v>
      </c>
      <c r="N89" s="4">
        <f t="shared" si="8"/>
        <v>44.6379353545477</v>
      </c>
      <c r="O89" s="4" t="str">
        <f t="shared" si="9"/>
        <v>2024-11</v>
      </c>
    </row>
    <row r="90" spans="1:15">
      <c r="A90" s="28">
        <v>45405</v>
      </c>
      <c r="B90" s="27">
        <v>45405</v>
      </c>
      <c r="C90" s="4">
        <v>1089</v>
      </c>
      <c r="D90" s="4" t="s">
        <v>38</v>
      </c>
      <c r="E90" s="4" t="s">
        <v>21</v>
      </c>
      <c r="F90" s="4" t="s">
        <v>17</v>
      </c>
      <c r="G90" s="4">
        <v>25</v>
      </c>
      <c r="H90" s="4">
        <v>41.66</v>
      </c>
      <c r="I90" s="4">
        <v>22.01</v>
      </c>
      <c r="J90" s="4">
        <v>62.08</v>
      </c>
      <c r="K90" s="4">
        <f t="shared" si="5"/>
        <v>1041.5</v>
      </c>
      <c r="L90" s="4">
        <f t="shared" si="6"/>
        <v>550.25</v>
      </c>
      <c r="M90" s="4">
        <f t="shared" si="7"/>
        <v>491.25</v>
      </c>
      <c r="N90" s="4">
        <f t="shared" si="8"/>
        <v>47.1675468074892</v>
      </c>
      <c r="O90" s="4" t="str">
        <f t="shared" si="9"/>
        <v>2024-04</v>
      </c>
    </row>
    <row r="91" spans="1:15">
      <c r="A91" s="28">
        <v>45368</v>
      </c>
      <c r="B91" s="27">
        <v>45368</v>
      </c>
      <c r="C91" s="4">
        <v>1090</v>
      </c>
      <c r="D91" s="4" t="s">
        <v>36</v>
      </c>
      <c r="E91" s="4" t="s">
        <v>16</v>
      </c>
      <c r="F91" s="4" t="s">
        <v>17</v>
      </c>
      <c r="G91" s="4">
        <v>25</v>
      </c>
      <c r="H91" s="4">
        <v>91.8</v>
      </c>
      <c r="I91" s="4">
        <v>65.09</v>
      </c>
      <c r="J91" s="4">
        <v>114.33</v>
      </c>
      <c r="K91" s="4">
        <f t="shared" si="5"/>
        <v>2295</v>
      </c>
      <c r="L91" s="4">
        <f t="shared" si="6"/>
        <v>1627.25</v>
      </c>
      <c r="M91" s="4">
        <f t="shared" si="7"/>
        <v>667.75</v>
      </c>
      <c r="N91" s="4">
        <f t="shared" si="8"/>
        <v>29.0958605664488</v>
      </c>
      <c r="O91" s="4" t="str">
        <f t="shared" si="9"/>
        <v>2024-03</v>
      </c>
    </row>
    <row r="92" spans="1:15">
      <c r="A92" s="28">
        <v>45597</v>
      </c>
      <c r="B92" s="27">
        <v>45597</v>
      </c>
      <c r="C92" s="4">
        <v>1091</v>
      </c>
      <c r="D92" s="4" t="s">
        <v>39</v>
      </c>
      <c r="E92" s="4" t="s">
        <v>23</v>
      </c>
      <c r="F92" s="4" t="s">
        <v>25</v>
      </c>
      <c r="G92" s="4">
        <v>2</v>
      </c>
      <c r="H92" s="4">
        <v>66.49</v>
      </c>
      <c r="I92" s="4">
        <v>27.36</v>
      </c>
      <c r="J92" s="4">
        <v>87.55</v>
      </c>
      <c r="K92" s="4">
        <f t="shared" si="5"/>
        <v>132.98</v>
      </c>
      <c r="L92" s="4">
        <f t="shared" si="6"/>
        <v>54.72</v>
      </c>
      <c r="M92" s="4">
        <f t="shared" si="7"/>
        <v>78.26</v>
      </c>
      <c r="N92" s="4">
        <f t="shared" si="8"/>
        <v>58.8509550308317</v>
      </c>
      <c r="O92" s="4" t="str">
        <f t="shared" si="9"/>
        <v>2024-11</v>
      </c>
    </row>
    <row r="93" spans="1:15">
      <c r="A93" s="28">
        <v>45561</v>
      </c>
      <c r="B93" s="27">
        <v>45561</v>
      </c>
      <c r="C93" s="4">
        <v>1092</v>
      </c>
      <c r="D93" s="4" t="s">
        <v>49</v>
      </c>
      <c r="E93" s="4" t="s">
        <v>21</v>
      </c>
      <c r="F93" s="4" t="s">
        <v>11</v>
      </c>
      <c r="G93" s="4">
        <v>20</v>
      </c>
      <c r="H93" s="4">
        <v>48.14</v>
      </c>
      <c r="I93" s="4">
        <v>26.53</v>
      </c>
      <c r="J93" s="4">
        <v>77.31</v>
      </c>
      <c r="K93" s="4">
        <f t="shared" si="5"/>
        <v>962.8</v>
      </c>
      <c r="L93" s="4">
        <f t="shared" si="6"/>
        <v>530.6</v>
      </c>
      <c r="M93" s="4">
        <f t="shared" si="7"/>
        <v>432.2</v>
      </c>
      <c r="N93" s="4">
        <f t="shared" si="8"/>
        <v>44.8899044453677</v>
      </c>
      <c r="O93" s="4" t="str">
        <f t="shared" si="9"/>
        <v>2024-09</v>
      </c>
    </row>
    <row r="94" spans="1:15">
      <c r="A94" s="28">
        <v>45345</v>
      </c>
      <c r="B94" s="27">
        <v>45345</v>
      </c>
      <c r="C94" s="4">
        <v>1093</v>
      </c>
      <c r="D94" s="4" t="s">
        <v>22</v>
      </c>
      <c r="E94" s="4" t="s">
        <v>21</v>
      </c>
      <c r="F94" s="4" t="s">
        <v>25</v>
      </c>
      <c r="G94" s="4">
        <v>20</v>
      </c>
      <c r="H94" s="4">
        <v>87.44</v>
      </c>
      <c r="I94" s="4">
        <v>49.65</v>
      </c>
      <c r="J94" s="4">
        <v>187.6</v>
      </c>
      <c r="K94" s="4">
        <f t="shared" si="5"/>
        <v>1748.8</v>
      </c>
      <c r="L94" s="4">
        <f t="shared" si="6"/>
        <v>993</v>
      </c>
      <c r="M94" s="4">
        <f t="shared" si="7"/>
        <v>755.8</v>
      </c>
      <c r="N94" s="4">
        <f t="shared" si="8"/>
        <v>43.2182067703568</v>
      </c>
      <c r="O94" s="4" t="str">
        <f t="shared" si="9"/>
        <v>2024-02</v>
      </c>
    </row>
    <row r="95" spans="1:15">
      <c r="A95" s="28">
        <v>45526</v>
      </c>
      <c r="B95" s="27">
        <v>45526</v>
      </c>
      <c r="C95" s="4">
        <v>1094</v>
      </c>
      <c r="D95" s="4" t="s">
        <v>22</v>
      </c>
      <c r="E95" s="4" t="s">
        <v>16</v>
      </c>
      <c r="F95" s="4" t="s">
        <v>25</v>
      </c>
      <c r="G95" s="4">
        <v>9</v>
      </c>
      <c r="H95" s="4">
        <v>31.47</v>
      </c>
      <c r="I95" s="4">
        <v>22.86</v>
      </c>
      <c r="J95" s="4">
        <v>97.25</v>
      </c>
      <c r="K95" s="4">
        <f t="shared" si="5"/>
        <v>283.23</v>
      </c>
      <c r="L95" s="4">
        <f t="shared" si="6"/>
        <v>205.74</v>
      </c>
      <c r="M95" s="4">
        <f t="shared" si="7"/>
        <v>77.49</v>
      </c>
      <c r="N95" s="4">
        <f t="shared" si="8"/>
        <v>27.3593898951382</v>
      </c>
      <c r="O95" s="4" t="str">
        <f t="shared" si="9"/>
        <v>2024-08</v>
      </c>
    </row>
    <row r="96" spans="1:15">
      <c r="A96" s="28">
        <v>45316</v>
      </c>
      <c r="B96" s="27">
        <v>45316</v>
      </c>
      <c r="C96" s="4">
        <v>1095</v>
      </c>
      <c r="D96" s="4" t="s">
        <v>15</v>
      </c>
      <c r="E96" s="4" t="s">
        <v>16</v>
      </c>
      <c r="F96" s="4" t="s">
        <v>11</v>
      </c>
      <c r="G96" s="4">
        <v>24</v>
      </c>
      <c r="H96" s="4">
        <v>78.75</v>
      </c>
      <c r="I96" s="4">
        <v>29.09</v>
      </c>
      <c r="J96" s="4">
        <v>36.17</v>
      </c>
      <c r="K96" s="4">
        <f t="shared" si="5"/>
        <v>1890</v>
      </c>
      <c r="L96" s="4">
        <f t="shared" si="6"/>
        <v>698.16</v>
      </c>
      <c r="M96" s="4">
        <f t="shared" si="7"/>
        <v>1191.84</v>
      </c>
      <c r="N96" s="4">
        <f t="shared" si="8"/>
        <v>63.0603174603175</v>
      </c>
      <c r="O96" s="4" t="str">
        <f t="shared" si="9"/>
        <v>2024-01</v>
      </c>
    </row>
    <row r="97" spans="1:15">
      <c r="A97" s="28">
        <v>45428</v>
      </c>
      <c r="B97" s="27">
        <v>45428</v>
      </c>
      <c r="C97" s="4">
        <v>1096</v>
      </c>
      <c r="D97" s="4" t="s">
        <v>12</v>
      </c>
      <c r="E97" s="4" t="s">
        <v>16</v>
      </c>
      <c r="F97" s="4" t="s">
        <v>14</v>
      </c>
      <c r="G97" s="4">
        <v>19</v>
      </c>
      <c r="H97" s="4">
        <v>42.77</v>
      </c>
      <c r="I97" s="4">
        <v>21.47</v>
      </c>
      <c r="J97" s="4">
        <v>106.8</v>
      </c>
      <c r="K97" s="4">
        <f t="shared" si="5"/>
        <v>812.63</v>
      </c>
      <c r="L97" s="4">
        <f t="shared" si="6"/>
        <v>407.93</v>
      </c>
      <c r="M97" s="4">
        <f t="shared" si="7"/>
        <v>404.7</v>
      </c>
      <c r="N97" s="4">
        <f t="shared" si="8"/>
        <v>49.80126256722</v>
      </c>
      <c r="O97" s="4" t="str">
        <f t="shared" si="9"/>
        <v>2024-05</v>
      </c>
    </row>
    <row r="98" spans="1:15">
      <c r="A98" s="28">
        <v>45519</v>
      </c>
      <c r="B98" s="27">
        <v>45519</v>
      </c>
      <c r="C98" s="4">
        <v>1097</v>
      </c>
      <c r="D98" s="4" t="s">
        <v>34</v>
      </c>
      <c r="E98" s="4" t="s">
        <v>23</v>
      </c>
      <c r="F98" s="4" t="s">
        <v>17</v>
      </c>
      <c r="G98" s="4">
        <v>13</v>
      </c>
      <c r="H98" s="4">
        <v>116.36</v>
      </c>
      <c r="I98" s="4">
        <v>76.86</v>
      </c>
      <c r="J98" s="4">
        <v>27.68</v>
      </c>
      <c r="K98" s="4">
        <f t="shared" si="5"/>
        <v>1512.68</v>
      </c>
      <c r="L98" s="4">
        <f t="shared" si="6"/>
        <v>999.18</v>
      </c>
      <c r="M98" s="4">
        <f t="shared" si="7"/>
        <v>513.5</v>
      </c>
      <c r="N98" s="4">
        <f t="shared" si="8"/>
        <v>33.9463733241664</v>
      </c>
      <c r="O98" s="4" t="str">
        <f t="shared" si="9"/>
        <v>2024-08</v>
      </c>
    </row>
    <row r="99" spans="1:15">
      <c r="A99" s="28">
        <v>45603</v>
      </c>
      <c r="B99" s="27">
        <v>45603</v>
      </c>
      <c r="C99" s="4">
        <v>1098</v>
      </c>
      <c r="D99" s="4" t="s">
        <v>49</v>
      </c>
      <c r="E99" s="4" t="s">
        <v>16</v>
      </c>
      <c r="F99" s="4" t="s">
        <v>11</v>
      </c>
      <c r="G99" s="4">
        <v>24</v>
      </c>
      <c r="H99" s="4">
        <v>29.31</v>
      </c>
      <c r="I99" s="4">
        <v>15.56</v>
      </c>
      <c r="J99" s="4">
        <v>166.21</v>
      </c>
      <c r="K99" s="4">
        <f t="shared" si="5"/>
        <v>703.44</v>
      </c>
      <c r="L99" s="4">
        <f t="shared" si="6"/>
        <v>373.44</v>
      </c>
      <c r="M99" s="4">
        <f t="shared" si="7"/>
        <v>330</v>
      </c>
      <c r="N99" s="4">
        <f t="shared" si="8"/>
        <v>46.9123166154896</v>
      </c>
      <c r="O99" s="4" t="str">
        <f t="shared" si="9"/>
        <v>2024-11</v>
      </c>
    </row>
    <row r="100" spans="1:15">
      <c r="A100" s="28">
        <v>45331</v>
      </c>
      <c r="B100" s="27">
        <v>45331</v>
      </c>
      <c r="C100" s="4">
        <v>1099</v>
      </c>
      <c r="D100" s="4" t="s">
        <v>49</v>
      </c>
      <c r="E100" s="4" t="s">
        <v>16</v>
      </c>
      <c r="F100" s="4" t="s">
        <v>25</v>
      </c>
      <c r="G100" s="4">
        <v>2</v>
      </c>
      <c r="H100" s="4">
        <v>52.49</v>
      </c>
      <c r="I100" s="4">
        <v>40</v>
      </c>
      <c r="J100" s="4">
        <v>186.17</v>
      </c>
      <c r="K100" s="4">
        <f t="shared" si="5"/>
        <v>104.98</v>
      </c>
      <c r="L100" s="4">
        <f t="shared" si="6"/>
        <v>80</v>
      </c>
      <c r="M100" s="4">
        <f t="shared" si="7"/>
        <v>24.98</v>
      </c>
      <c r="N100" s="4">
        <f t="shared" si="8"/>
        <v>23.7950085730615</v>
      </c>
      <c r="O100" s="4" t="str">
        <f t="shared" si="9"/>
        <v>2024-02</v>
      </c>
    </row>
    <row r="101" spans="1:15">
      <c r="A101" s="28">
        <v>45520</v>
      </c>
      <c r="B101" s="27">
        <v>45520</v>
      </c>
      <c r="C101" s="4">
        <v>1100</v>
      </c>
      <c r="D101" s="4" t="s">
        <v>39</v>
      </c>
      <c r="E101" s="4" t="s">
        <v>21</v>
      </c>
      <c r="F101" s="4" t="s">
        <v>14</v>
      </c>
      <c r="G101" s="4">
        <v>15</v>
      </c>
      <c r="H101" s="4">
        <v>60.45</v>
      </c>
      <c r="I101" s="4">
        <v>50</v>
      </c>
      <c r="J101" s="4">
        <v>15.85</v>
      </c>
      <c r="K101" s="4">
        <f t="shared" si="5"/>
        <v>906.75</v>
      </c>
      <c r="L101" s="4">
        <f t="shared" si="6"/>
        <v>750</v>
      </c>
      <c r="M101" s="4">
        <f t="shared" si="7"/>
        <v>156.75</v>
      </c>
      <c r="N101" s="4">
        <f t="shared" si="8"/>
        <v>17.2870140612076</v>
      </c>
      <c r="O101" s="4" t="str">
        <f t="shared" si="9"/>
        <v>2024-08</v>
      </c>
    </row>
    <row r="102" spans="1:15">
      <c r="A102" s="28">
        <v>45469</v>
      </c>
      <c r="B102" s="27">
        <v>45469</v>
      </c>
      <c r="C102" s="4">
        <v>1101</v>
      </c>
      <c r="D102" s="4" t="s">
        <v>26</v>
      </c>
      <c r="E102" s="4" t="s">
        <v>23</v>
      </c>
      <c r="F102" s="4" t="s">
        <v>25</v>
      </c>
      <c r="G102" s="4">
        <v>7</v>
      </c>
      <c r="H102" s="4">
        <v>57.34</v>
      </c>
      <c r="I102" s="4">
        <v>29</v>
      </c>
      <c r="J102" s="4">
        <v>22.17</v>
      </c>
      <c r="K102" s="4">
        <f t="shared" si="5"/>
        <v>401.38</v>
      </c>
      <c r="L102" s="4">
        <f t="shared" si="6"/>
        <v>203</v>
      </c>
      <c r="M102" s="4">
        <f t="shared" si="7"/>
        <v>198.38</v>
      </c>
      <c r="N102" s="4">
        <f t="shared" si="8"/>
        <v>49.424485524939</v>
      </c>
      <c r="O102" s="4" t="str">
        <f t="shared" si="9"/>
        <v>2024-06</v>
      </c>
    </row>
    <row r="103" spans="1:15">
      <c r="A103" s="28">
        <v>45476</v>
      </c>
      <c r="B103" s="27">
        <v>45476</v>
      </c>
      <c r="C103" s="4">
        <v>1102</v>
      </c>
      <c r="D103" s="4" t="s">
        <v>31</v>
      </c>
      <c r="E103" s="4" t="s">
        <v>10</v>
      </c>
      <c r="F103" s="4" t="s">
        <v>11</v>
      </c>
      <c r="G103" s="4">
        <v>7</v>
      </c>
      <c r="H103" s="4">
        <v>73.63</v>
      </c>
      <c r="I103" s="4">
        <v>44.23</v>
      </c>
      <c r="J103" s="4">
        <v>104.7</v>
      </c>
      <c r="K103" s="4">
        <f t="shared" si="5"/>
        <v>515.41</v>
      </c>
      <c r="L103" s="4">
        <f t="shared" si="6"/>
        <v>309.61</v>
      </c>
      <c r="M103" s="4">
        <f t="shared" si="7"/>
        <v>205.8</v>
      </c>
      <c r="N103" s="4">
        <f t="shared" si="8"/>
        <v>39.9293766127937</v>
      </c>
      <c r="O103" s="4" t="str">
        <f t="shared" si="9"/>
        <v>2024-07</v>
      </c>
    </row>
    <row r="104" spans="1:15">
      <c r="A104" s="28">
        <v>45454</v>
      </c>
      <c r="B104" s="27">
        <v>45454</v>
      </c>
      <c r="C104" s="4">
        <v>1103</v>
      </c>
      <c r="D104" s="4" t="s">
        <v>26</v>
      </c>
      <c r="E104" s="4" t="s">
        <v>16</v>
      </c>
      <c r="F104" s="4" t="s">
        <v>17</v>
      </c>
      <c r="G104" s="4">
        <v>8</v>
      </c>
      <c r="H104" s="4">
        <v>92.71</v>
      </c>
      <c r="I104" s="4">
        <v>30.63</v>
      </c>
      <c r="J104" s="4">
        <v>48.23</v>
      </c>
      <c r="K104" s="4">
        <f t="shared" si="5"/>
        <v>741.68</v>
      </c>
      <c r="L104" s="4">
        <f t="shared" si="6"/>
        <v>245.04</v>
      </c>
      <c r="M104" s="4">
        <f t="shared" si="7"/>
        <v>496.64</v>
      </c>
      <c r="N104" s="4">
        <f t="shared" si="8"/>
        <v>66.9614928270952</v>
      </c>
      <c r="O104" s="4" t="str">
        <f t="shared" si="9"/>
        <v>2024-06</v>
      </c>
    </row>
    <row r="105" spans="1:15">
      <c r="A105" s="28">
        <v>45376</v>
      </c>
      <c r="B105" s="27">
        <v>45376</v>
      </c>
      <c r="C105" s="4">
        <v>1104</v>
      </c>
      <c r="D105" s="4" t="s">
        <v>38</v>
      </c>
      <c r="E105" s="4" t="s">
        <v>50</v>
      </c>
      <c r="F105" s="4" t="s">
        <v>14</v>
      </c>
      <c r="G105" s="4">
        <v>21</v>
      </c>
      <c r="H105" s="4">
        <v>62.18</v>
      </c>
      <c r="I105" s="4">
        <v>36.33</v>
      </c>
      <c r="J105" s="4">
        <v>162.3</v>
      </c>
      <c r="K105" s="4">
        <f t="shared" si="5"/>
        <v>1305.78</v>
      </c>
      <c r="L105" s="4">
        <f t="shared" si="6"/>
        <v>762.93</v>
      </c>
      <c r="M105" s="4">
        <f t="shared" si="7"/>
        <v>542.85</v>
      </c>
      <c r="N105" s="4">
        <f t="shared" si="8"/>
        <v>41.5728530073979</v>
      </c>
      <c r="O105" s="4" t="str">
        <f t="shared" si="9"/>
        <v>2024-03</v>
      </c>
    </row>
    <row r="106" spans="1:15">
      <c r="A106" s="28">
        <v>45339</v>
      </c>
      <c r="B106" s="27">
        <v>45339</v>
      </c>
      <c r="C106" s="4">
        <v>1105</v>
      </c>
      <c r="D106" s="4" t="s">
        <v>15</v>
      </c>
      <c r="E106" s="4" t="s">
        <v>10</v>
      </c>
      <c r="F106" s="4" t="s">
        <v>25</v>
      </c>
      <c r="G106" s="4">
        <v>17</v>
      </c>
      <c r="H106" s="4">
        <v>63.13</v>
      </c>
      <c r="I106" s="4">
        <v>54</v>
      </c>
      <c r="J106" s="4">
        <v>129.38</v>
      </c>
      <c r="K106" s="4">
        <f t="shared" si="5"/>
        <v>1073.21</v>
      </c>
      <c r="L106" s="4">
        <f t="shared" si="6"/>
        <v>918</v>
      </c>
      <c r="M106" s="4">
        <f t="shared" si="7"/>
        <v>155.21</v>
      </c>
      <c r="N106" s="4">
        <f t="shared" si="8"/>
        <v>14.4622208141929</v>
      </c>
      <c r="O106" s="4" t="str">
        <f t="shared" si="9"/>
        <v>2024-02</v>
      </c>
    </row>
    <row r="107" spans="1:15">
      <c r="A107" s="28">
        <v>45427</v>
      </c>
      <c r="B107" s="27">
        <v>45427</v>
      </c>
      <c r="C107" s="4">
        <v>1106</v>
      </c>
      <c r="D107" s="4" t="s">
        <v>35</v>
      </c>
      <c r="E107" s="4" t="s">
        <v>21</v>
      </c>
      <c r="F107" s="4" t="s">
        <v>17</v>
      </c>
      <c r="G107" s="4">
        <v>12</v>
      </c>
      <c r="H107" s="4">
        <v>48.62</v>
      </c>
      <c r="I107" s="4">
        <v>29.73</v>
      </c>
      <c r="J107" s="4">
        <v>73.47</v>
      </c>
      <c r="K107" s="4">
        <f t="shared" si="5"/>
        <v>583.44</v>
      </c>
      <c r="L107" s="4">
        <f t="shared" si="6"/>
        <v>356.76</v>
      </c>
      <c r="M107" s="4">
        <f t="shared" si="7"/>
        <v>226.68</v>
      </c>
      <c r="N107" s="4">
        <f t="shared" si="8"/>
        <v>38.8523241464418</v>
      </c>
      <c r="O107" s="4" t="str">
        <f t="shared" si="9"/>
        <v>2024-05</v>
      </c>
    </row>
    <row r="108" spans="1:15">
      <c r="A108" s="28">
        <v>45322</v>
      </c>
      <c r="B108" s="27">
        <v>45322</v>
      </c>
      <c r="C108" s="4">
        <v>1107</v>
      </c>
      <c r="D108" s="4" t="s">
        <v>18</v>
      </c>
      <c r="E108" s="4" t="s">
        <v>23</v>
      </c>
      <c r="F108" s="4" t="s">
        <v>25</v>
      </c>
      <c r="G108" s="4">
        <v>2</v>
      </c>
      <c r="H108" s="4">
        <v>47.42</v>
      </c>
      <c r="I108" s="4">
        <v>23.74</v>
      </c>
      <c r="J108" s="4">
        <v>143.53</v>
      </c>
      <c r="K108" s="4">
        <f t="shared" si="5"/>
        <v>94.84</v>
      </c>
      <c r="L108" s="4">
        <f t="shared" si="6"/>
        <v>47.48</v>
      </c>
      <c r="M108" s="4">
        <f t="shared" si="7"/>
        <v>47.36</v>
      </c>
      <c r="N108" s="4">
        <f t="shared" si="8"/>
        <v>49.9367355546183</v>
      </c>
      <c r="O108" s="4" t="str">
        <f t="shared" si="9"/>
        <v>2024-01</v>
      </c>
    </row>
    <row r="109" spans="1:15">
      <c r="A109" s="28">
        <v>45530</v>
      </c>
      <c r="B109" s="27">
        <v>45530</v>
      </c>
      <c r="C109" s="4">
        <v>1108</v>
      </c>
      <c r="D109" s="4" t="s">
        <v>33</v>
      </c>
      <c r="E109" s="4" t="s">
        <v>21</v>
      </c>
      <c r="F109" s="4" t="s">
        <v>11</v>
      </c>
      <c r="G109" s="4">
        <v>20</v>
      </c>
      <c r="H109" s="4">
        <v>55.87</v>
      </c>
      <c r="I109" s="4">
        <v>35.61</v>
      </c>
      <c r="J109" s="4">
        <v>32</v>
      </c>
      <c r="K109" s="4">
        <f t="shared" si="5"/>
        <v>1117.4</v>
      </c>
      <c r="L109" s="4">
        <f t="shared" si="6"/>
        <v>712.2</v>
      </c>
      <c r="M109" s="4">
        <f t="shared" si="7"/>
        <v>405.2</v>
      </c>
      <c r="N109" s="4">
        <f t="shared" si="8"/>
        <v>36.2627528190442</v>
      </c>
      <c r="O109" s="4" t="str">
        <f t="shared" si="9"/>
        <v>2024-08</v>
      </c>
    </row>
    <row r="110" spans="1:15">
      <c r="A110" s="28">
        <v>45555</v>
      </c>
      <c r="B110" s="27">
        <v>45555</v>
      </c>
      <c r="C110" s="4">
        <v>1109</v>
      </c>
      <c r="D110" s="4" t="s">
        <v>22</v>
      </c>
      <c r="E110" s="4" t="s">
        <v>16</v>
      </c>
      <c r="F110" s="4" t="s">
        <v>25</v>
      </c>
      <c r="G110" s="4">
        <v>18</v>
      </c>
      <c r="H110" s="4">
        <v>15.5</v>
      </c>
      <c r="I110" s="4">
        <v>7.79</v>
      </c>
      <c r="J110" s="4">
        <v>74.19</v>
      </c>
      <c r="K110" s="4">
        <f t="shared" si="5"/>
        <v>279</v>
      </c>
      <c r="L110" s="4">
        <f t="shared" si="6"/>
        <v>140.22</v>
      </c>
      <c r="M110" s="4">
        <f t="shared" si="7"/>
        <v>138.78</v>
      </c>
      <c r="N110" s="4">
        <f t="shared" si="8"/>
        <v>49.741935483871</v>
      </c>
      <c r="O110" s="4" t="str">
        <f t="shared" si="9"/>
        <v>2024-09</v>
      </c>
    </row>
    <row r="111" spans="1:15">
      <c r="A111" s="28">
        <v>45551</v>
      </c>
      <c r="B111" s="27">
        <v>45551</v>
      </c>
      <c r="C111" s="4">
        <v>1110</v>
      </c>
      <c r="D111" s="4" t="s">
        <v>32</v>
      </c>
      <c r="E111" s="4" t="s">
        <v>21</v>
      </c>
      <c r="F111" s="4" t="s">
        <v>11</v>
      </c>
      <c r="G111" s="4">
        <v>5</v>
      </c>
      <c r="H111" s="4">
        <v>65.9</v>
      </c>
      <c r="I111" s="4">
        <v>36.43</v>
      </c>
      <c r="J111" s="4">
        <v>52.36</v>
      </c>
      <c r="K111" s="4">
        <f t="shared" si="5"/>
        <v>329.5</v>
      </c>
      <c r="L111" s="4">
        <f t="shared" si="6"/>
        <v>182.15</v>
      </c>
      <c r="M111" s="4">
        <f t="shared" si="7"/>
        <v>147.35</v>
      </c>
      <c r="N111" s="4">
        <f t="shared" si="8"/>
        <v>44.7192716236722</v>
      </c>
      <c r="O111" s="4" t="str">
        <f t="shared" si="9"/>
        <v>2024-09</v>
      </c>
    </row>
    <row r="112" spans="1:15">
      <c r="A112" s="28">
        <v>45348</v>
      </c>
      <c r="B112" s="27">
        <v>45348</v>
      </c>
      <c r="C112" s="4">
        <v>1111</v>
      </c>
      <c r="D112" s="4" t="s">
        <v>20</v>
      </c>
      <c r="E112" s="4" t="s">
        <v>23</v>
      </c>
      <c r="F112" s="4" t="s">
        <v>11</v>
      </c>
      <c r="G112" s="4">
        <v>22</v>
      </c>
      <c r="H112" s="4">
        <v>60.07</v>
      </c>
      <c r="I112" s="4">
        <v>36.45</v>
      </c>
      <c r="J112" s="4">
        <v>169.1</v>
      </c>
      <c r="K112" s="4">
        <f t="shared" si="5"/>
        <v>1321.54</v>
      </c>
      <c r="L112" s="4">
        <f t="shared" si="6"/>
        <v>801.9</v>
      </c>
      <c r="M112" s="4">
        <f t="shared" si="7"/>
        <v>519.64</v>
      </c>
      <c r="N112" s="4">
        <f t="shared" si="8"/>
        <v>39.3207924088563</v>
      </c>
      <c r="O112" s="4" t="str">
        <f t="shared" si="9"/>
        <v>2024-02</v>
      </c>
    </row>
    <row r="113" spans="1:15">
      <c r="A113" s="28">
        <v>45536</v>
      </c>
      <c r="B113" s="27">
        <v>45536</v>
      </c>
      <c r="C113" s="4">
        <v>1112</v>
      </c>
      <c r="D113" s="4" t="s">
        <v>47</v>
      </c>
      <c r="E113" s="4" t="s">
        <v>21</v>
      </c>
      <c r="F113" s="4" t="s">
        <v>14</v>
      </c>
      <c r="G113" s="4">
        <v>16</v>
      </c>
      <c r="H113" s="4">
        <v>36.22</v>
      </c>
      <c r="I113" s="4">
        <v>23.78</v>
      </c>
      <c r="J113" s="4">
        <v>47.35</v>
      </c>
      <c r="K113" s="4">
        <f t="shared" si="5"/>
        <v>579.52</v>
      </c>
      <c r="L113" s="4">
        <f t="shared" si="6"/>
        <v>380.48</v>
      </c>
      <c r="M113" s="4">
        <f t="shared" si="7"/>
        <v>199.04</v>
      </c>
      <c r="N113" s="4">
        <f t="shared" si="8"/>
        <v>34.3456653782441</v>
      </c>
      <c r="O113" s="4" t="str">
        <f t="shared" si="9"/>
        <v>2024-09</v>
      </c>
    </row>
    <row r="114" spans="1:15">
      <c r="A114" s="28">
        <v>45434</v>
      </c>
      <c r="B114" s="27">
        <v>45434</v>
      </c>
      <c r="C114" s="4">
        <v>1113</v>
      </c>
      <c r="D114" s="4" t="s">
        <v>15</v>
      </c>
      <c r="E114" s="4" t="s">
        <v>10</v>
      </c>
      <c r="F114" s="4" t="s">
        <v>25</v>
      </c>
      <c r="G114" s="4">
        <v>22</v>
      </c>
      <c r="H114" s="4">
        <v>89.64</v>
      </c>
      <c r="I114" s="4">
        <v>57.92</v>
      </c>
      <c r="J114" s="4">
        <v>164.67</v>
      </c>
      <c r="K114" s="4">
        <f t="shared" si="5"/>
        <v>1972.08</v>
      </c>
      <c r="L114" s="4">
        <f t="shared" si="6"/>
        <v>1274.24</v>
      </c>
      <c r="M114" s="4">
        <f t="shared" si="7"/>
        <v>697.84</v>
      </c>
      <c r="N114" s="4">
        <f t="shared" si="8"/>
        <v>35.3859883980366</v>
      </c>
      <c r="O114" s="4" t="str">
        <f t="shared" si="9"/>
        <v>2024-05</v>
      </c>
    </row>
    <row r="115" spans="1:15">
      <c r="A115" s="28">
        <v>45570</v>
      </c>
      <c r="B115" s="27">
        <v>45570</v>
      </c>
      <c r="C115" s="4">
        <v>1114</v>
      </c>
      <c r="D115" s="4" t="s">
        <v>34</v>
      </c>
      <c r="E115" s="4" t="s">
        <v>21</v>
      </c>
      <c r="F115" s="4" t="s">
        <v>14</v>
      </c>
      <c r="G115" s="4">
        <v>4</v>
      </c>
      <c r="H115" s="4">
        <v>58.72</v>
      </c>
      <c r="I115" s="4">
        <v>19.08</v>
      </c>
      <c r="J115" s="4">
        <v>24.83</v>
      </c>
      <c r="K115" s="4">
        <f t="shared" si="5"/>
        <v>234.88</v>
      </c>
      <c r="L115" s="4">
        <f t="shared" si="6"/>
        <v>76.32</v>
      </c>
      <c r="M115" s="4">
        <f t="shared" si="7"/>
        <v>158.56</v>
      </c>
      <c r="N115" s="4">
        <f t="shared" si="8"/>
        <v>67.5068119891008</v>
      </c>
      <c r="O115" s="4" t="str">
        <f t="shared" si="9"/>
        <v>2024-10</v>
      </c>
    </row>
    <row r="116" spans="1:15">
      <c r="A116" s="28">
        <v>45567</v>
      </c>
      <c r="B116" s="27">
        <v>45567</v>
      </c>
      <c r="C116" s="4">
        <v>1115</v>
      </c>
      <c r="D116" s="4" t="s">
        <v>9</v>
      </c>
      <c r="E116" s="4" t="s">
        <v>21</v>
      </c>
      <c r="F116" s="4" t="s">
        <v>25</v>
      </c>
      <c r="G116" s="4">
        <v>8</v>
      </c>
      <c r="H116" s="4">
        <v>33.2</v>
      </c>
      <c r="I116" s="4">
        <v>14.06</v>
      </c>
      <c r="J116" s="4">
        <v>125</v>
      </c>
      <c r="K116" s="4">
        <f t="shared" si="5"/>
        <v>265.6</v>
      </c>
      <c r="L116" s="4">
        <f t="shared" si="6"/>
        <v>112.48</v>
      </c>
      <c r="M116" s="4">
        <f t="shared" si="7"/>
        <v>153.12</v>
      </c>
      <c r="N116" s="4">
        <f t="shared" si="8"/>
        <v>57.6506024096386</v>
      </c>
      <c r="O116" s="4" t="str">
        <f t="shared" si="9"/>
        <v>2024-10</v>
      </c>
    </row>
    <row r="117" spans="1:15">
      <c r="A117" s="28">
        <v>45533</v>
      </c>
      <c r="B117" s="27">
        <v>45533</v>
      </c>
      <c r="C117" s="4">
        <v>1116</v>
      </c>
      <c r="D117" s="4" t="s">
        <v>31</v>
      </c>
      <c r="E117" s="4" t="s">
        <v>10</v>
      </c>
      <c r="F117" s="4" t="s">
        <v>25</v>
      </c>
      <c r="G117" s="4">
        <v>18</v>
      </c>
      <c r="H117" s="4">
        <v>16.45</v>
      </c>
      <c r="I117" s="4">
        <v>5.54</v>
      </c>
      <c r="J117" s="4">
        <v>189.71</v>
      </c>
      <c r="K117" s="4">
        <f t="shared" si="5"/>
        <v>296.1</v>
      </c>
      <c r="L117" s="4">
        <f t="shared" si="6"/>
        <v>99.72</v>
      </c>
      <c r="M117" s="4">
        <f t="shared" si="7"/>
        <v>196.38</v>
      </c>
      <c r="N117" s="4">
        <f t="shared" si="8"/>
        <v>66.322188449848</v>
      </c>
      <c r="O117" s="4" t="str">
        <f t="shared" si="9"/>
        <v>2024-08</v>
      </c>
    </row>
    <row r="118" spans="1:15">
      <c r="A118" s="28">
        <v>45625</v>
      </c>
      <c r="B118" s="27">
        <v>45625</v>
      </c>
      <c r="C118" s="4">
        <v>1117</v>
      </c>
      <c r="D118" s="4" t="s">
        <v>37</v>
      </c>
      <c r="E118" s="4" t="s">
        <v>16</v>
      </c>
      <c r="F118" s="4" t="s">
        <v>25</v>
      </c>
      <c r="G118" s="4">
        <v>9</v>
      </c>
      <c r="H118" s="4">
        <v>64.16</v>
      </c>
      <c r="I118" s="4">
        <v>39.03</v>
      </c>
      <c r="J118" s="4">
        <v>59.49</v>
      </c>
      <c r="K118" s="4">
        <f t="shared" si="5"/>
        <v>577.44</v>
      </c>
      <c r="L118" s="4">
        <f t="shared" si="6"/>
        <v>351.27</v>
      </c>
      <c r="M118" s="4">
        <f t="shared" si="7"/>
        <v>226.17</v>
      </c>
      <c r="N118" s="4">
        <f t="shared" si="8"/>
        <v>39.1677057356608</v>
      </c>
      <c r="O118" s="4" t="str">
        <f t="shared" si="9"/>
        <v>2024-11</v>
      </c>
    </row>
    <row r="119" spans="1:15">
      <c r="A119" s="28">
        <v>45349</v>
      </c>
      <c r="B119" s="27">
        <v>45349</v>
      </c>
      <c r="C119" s="4">
        <v>1118</v>
      </c>
      <c r="D119" s="4" t="s">
        <v>12</v>
      </c>
      <c r="E119" s="4" t="s">
        <v>10</v>
      </c>
      <c r="F119" s="4" t="s">
        <v>25</v>
      </c>
      <c r="G119" s="4">
        <v>11</v>
      </c>
      <c r="H119" s="4">
        <v>117.34</v>
      </c>
      <c r="I119" s="4">
        <v>54.77</v>
      </c>
      <c r="J119" s="4">
        <v>112.33</v>
      </c>
      <c r="K119" s="4">
        <f t="shared" si="5"/>
        <v>1290.74</v>
      </c>
      <c r="L119" s="4">
        <f t="shared" si="6"/>
        <v>602.47</v>
      </c>
      <c r="M119" s="4">
        <f t="shared" si="7"/>
        <v>688.27</v>
      </c>
      <c r="N119" s="4">
        <f t="shared" si="8"/>
        <v>53.323674791205</v>
      </c>
      <c r="O119" s="4" t="str">
        <f t="shared" si="9"/>
        <v>2024-02</v>
      </c>
    </row>
    <row r="120" spans="1:15">
      <c r="A120" s="28">
        <v>45510</v>
      </c>
      <c r="B120" s="27">
        <v>45510</v>
      </c>
      <c r="C120" s="4">
        <v>1119</v>
      </c>
      <c r="D120" s="4" t="s">
        <v>22</v>
      </c>
      <c r="E120" s="4" t="s">
        <v>16</v>
      </c>
      <c r="F120" s="4" t="s">
        <v>17</v>
      </c>
      <c r="G120" s="4">
        <v>5</v>
      </c>
      <c r="H120" s="4">
        <v>99.86</v>
      </c>
      <c r="I120" s="4">
        <v>62.36</v>
      </c>
      <c r="J120" s="4">
        <v>37.97</v>
      </c>
      <c r="K120" s="4">
        <f t="shared" si="5"/>
        <v>499.3</v>
      </c>
      <c r="L120" s="4">
        <f t="shared" si="6"/>
        <v>311.8</v>
      </c>
      <c r="M120" s="4">
        <f t="shared" si="7"/>
        <v>187.5</v>
      </c>
      <c r="N120" s="4">
        <f t="shared" si="8"/>
        <v>37.5525736030443</v>
      </c>
      <c r="O120" s="4" t="str">
        <f t="shared" si="9"/>
        <v>2024-08</v>
      </c>
    </row>
    <row r="121" spans="1:15">
      <c r="A121" s="28">
        <v>45443</v>
      </c>
      <c r="B121" s="27">
        <v>45443</v>
      </c>
      <c r="C121" s="4">
        <v>1120</v>
      </c>
      <c r="D121" s="4" t="s">
        <v>44</v>
      </c>
      <c r="E121" s="4" t="s">
        <v>16</v>
      </c>
      <c r="F121" s="4" t="s">
        <v>17</v>
      </c>
      <c r="G121" s="4">
        <v>6</v>
      </c>
      <c r="H121" s="4">
        <v>75</v>
      </c>
      <c r="I121" s="4">
        <v>32</v>
      </c>
      <c r="J121" s="4">
        <v>119.5</v>
      </c>
      <c r="K121" s="4">
        <f t="shared" si="5"/>
        <v>450</v>
      </c>
      <c r="L121" s="4">
        <f t="shared" si="6"/>
        <v>192</v>
      </c>
      <c r="M121" s="4">
        <f t="shared" si="7"/>
        <v>258</v>
      </c>
      <c r="N121" s="4">
        <f t="shared" si="8"/>
        <v>57.3333333333333</v>
      </c>
      <c r="O121" s="4" t="str">
        <f t="shared" si="9"/>
        <v>2024-05</v>
      </c>
    </row>
    <row r="122" spans="1:15">
      <c r="A122" s="28">
        <v>45397</v>
      </c>
      <c r="B122" s="27">
        <v>45397</v>
      </c>
      <c r="C122" s="4">
        <v>1121</v>
      </c>
      <c r="D122" s="4" t="s">
        <v>35</v>
      </c>
      <c r="E122" s="4" t="s">
        <v>23</v>
      </c>
      <c r="F122" s="4" t="s">
        <v>25</v>
      </c>
      <c r="G122" s="4">
        <v>11</v>
      </c>
      <c r="H122" s="4">
        <v>16.89</v>
      </c>
      <c r="I122" s="4">
        <v>9.34</v>
      </c>
      <c r="J122" s="4">
        <v>72.5</v>
      </c>
      <c r="K122" s="4">
        <f t="shared" si="5"/>
        <v>185.79</v>
      </c>
      <c r="L122" s="4">
        <f t="shared" si="6"/>
        <v>102.74</v>
      </c>
      <c r="M122" s="4">
        <f t="shared" si="7"/>
        <v>83.05</v>
      </c>
      <c r="N122" s="4">
        <f t="shared" si="8"/>
        <v>44.7010065127294</v>
      </c>
      <c r="O122" s="4" t="str">
        <f t="shared" si="9"/>
        <v>2024-04</v>
      </c>
    </row>
    <row r="123" spans="1:15">
      <c r="A123" s="28">
        <v>45293</v>
      </c>
      <c r="B123" s="27">
        <v>45293</v>
      </c>
      <c r="C123" s="4">
        <v>1122</v>
      </c>
      <c r="D123" s="4" t="s">
        <v>42</v>
      </c>
      <c r="E123" s="4" t="s">
        <v>16</v>
      </c>
      <c r="F123" s="4" t="s">
        <v>25</v>
      </c>
      <c r="G123" s="4">
        <v>10</v>
      </c>
      <c r="H123" s="4">
        <v>72.25</v>
      </c>
      <c r="I123" s="4">
        <v>26.37</v>
      </c>
      <c r="J123" s="4">
        <v>120.49</v>
      </c>
      <c r="K123" s="4">
        <f t="shared" si="5"/>
        <v>722.5</v>
      </c>
      <c r="L123" s="4">
        <f t="shared" si="6"/>
        <v>263.7</v>
      </c>
      <c r="M123" s="4">
        <f t="shared" si="7"/>
        <v>458.8</v>
      </c>
      <c r="N123" s="4">
        <f t="shared" si="8"/>
        <v>63.5017301038062</v>
      </c>
      <c r="O123" s="4" t="str">
        <f t="shared" si="9"/>
        <v>2024-01</v>
      </c>
    </row>
    <row r="124" customFormat="1" spans="1:15">
      <c r="A124" s="28">
        <v>45388</v>
      </c>
      <c r="B124" s="27">
        <v>45388</v>
      </c>
      <c r="C124" s="4">
        <v>1123</v>
      </c>
      <c r="D124" s="4" t="s">
        <v>38</v>
      </c>
      <c r="E124" s="4" t="s">
        <v>23</v>
      </c>
      <c r="F124" s="4" t="s">
        <v>14</v>
      </c>
      <c r="G124" s="4">
        <v>19</v>
      </c>
      <c r="H124" s="4">
        <v>46.4</v>
      </c>
      <c r="I124" s="4">
        <v>26.79</v>
      </c>
      <c r="J124" s="4">
        <v>168.52</v>
      </c>
      <c r="K124" s="4">
        <f t="shared" si="5"/>
        <v>881.6</v>
      </c>
      <c r="L124" s="4">
        <f t="shared" si="6"/>
        <v>509.01</v>
      </c>
      <c r="M124" s="4">
        <f t="shared" si="7"/>
        <v>372.59</v>
      </c>
      <c r="N124" s="4">
        <f t="shared" si="8"/>
        <v>42.2629310344828</v>
      </c>
      <c r="O124" s="4" t="str">
        <f t="shared" si="9"/>
        <v>2024-04</v>
      </c>
    </row>
    <row r="125" spans="1:15">
      <c r="A125" s="28">
        <v>45505</v>
      </c>
      <c r="B125" s="27">
        <v>45505</v>
      </c>
      <c r="C125" s="4">
        <v>1124</v>
      </c>
      <c r="D125" s="4" t="s">
        <v>20</v>
      </c>
      <c r="E125" s="4" t="s">
        <v>21</v>
      </c>
      <c r="F125" s="4" t="s">
        <v>25</v>
      </c>
      <c r="G125" s="4">
        <v>13</v>
      </c>
      <c r="H125" s="4">
        <v>75.04</v>
      </c>
      <c r="I125" s="4">
        <v>47</v>
      </c>
      <c r="J125" s="4">
        <v>137.61</v>
      </c>
      <c r="K125" s="4">
        <f t="shared" si="5"/>
        <v>975.52</v>
      </c>
      <c r="L125" s="4">
        <f t="shared" si="6"/>
        <v>611</v>
      </c>
      <c r="M125" s="4">
        <f t="shared" si="7"/>
        <v>364.52</v>
      </c>
      <c r="N125" s="4">
        <f t="shared" si="8"/>
        <v>37.3667377398721</v>
      </c>
      <c r="O125" s="4" t="str">
        <f t="shared" si="9"/>
        <v>2024-08</v>
      </c>
    </row>
    <row r="126" spans="1:15">
      <c r="A126" s="28">
        <v>45416</v>
      </c>
      <c r="B126" s="27">
        <v>45416</v>
      </c>
      <c r="C126" s="4">
        <v>1125</v>
      </c>
      <c r="D126" s="4" t="s">
        <v>41</v>
      </c>
      <c r="E126" s="4" t="s">
        <v>10</v>
      </c>
      <c r="F126" s="4" t="s">
        <v>14</v>
      </c>
      <c r="G126" s="4">
        <v>23</v>
      </c>
      <c r="H126" s="4">
        <v>78.93</v>
      </c>
      <c r="I126" s="4">
        <v>28.93</v>
      </c>
      <c r="J126" s="4">
        <v>136.15</v>
      </c>
      <c r="K126" s="4">
        <f t="shared" si="5"/>
        <v>1815.39</v>
      </c>
      <c r="L126" s="4">
        <f t="shared" si="6"/>
        <v>665.39</v>
      </c>
      <c r="M126" s="4">
        <f t="shared" si="7"/>
        <v>1150</v>
      </c>
      <c r="N126" s="4">
        <f t="shared" si="8"/>
        <v>63.3472697326745</v>
      </c>
      <c r="O126" s="4" t="str">
        <f t="shared" si="9"/>
        <v>2024-05</v>
      </c>
    </row>
    <row r="127" spans="1:15">
      <c r="A127" s="28">
        <v>45460</v>
      </c>
      <c r="B127" s="27">
        <v>45460</v>
      </c>
      <c r="C127" s="4">
        <v>1126</v>
      </c>
      <c r="D127" s="4" t="s">
        <v>37</v>
      </c>
      <c r="E127" s="4" t="s">
        <v>10</v>
      </c>
      <c r="F127" s="4" t="s">
        <v>17</v>
      </c>
      <c r="G127" s="4">
        <v>23</v>
      </c>
      <c r="H127" s="4">
        <v>90.56</v>
      </c>
      <c r="I127" s="4">
        <v>48.31</v>
      </c>
      <c r="J127" s="4">
        <v>112.18</v>
      </c>
      <c r="K127" s="4">
        <f t="shared" si="5"/>
        <v>2082.88</v>
      </c>
      <c r="L127" s="4">
        <f t="shared" si="6"/>
        <v>1111.13</v>
      </c>
      <c r="M127" s="4">
        <f t="shared" si="7"/>
        <v>971.75</v>
      </c>
      <c r="N127" s="4">
        <f t="shared" si="8"/>
        <v>46.6541519434629</v>
      </c>
      <c r="O127" s="4" t="str">
        <f t="shared" si="9"/>
        <v>2024-06</v>
      </c>
    </row>
    <row r="128" spans="1:15">
      <c r="A128" s="28">
        <v>45378</v>
      </c>
      <c r="B128" s="27">
        <v>45378</v>
      </c>
      <c r="C128" s="4">
        <v>1127</v>
      </c>
      <c r="D128" s="4" t="s">
        <v>52</v>
      </c>
      <c r="E128" s="4" t="s">
        <v>23</v>
      </c>
      <c r="F128" s="4" t="s">
        <v>25</v>
      </c>
      <c r="G128" s="4">
        <v>23</v>
      </c>
      <c r="H128" s="4">
        <v>85.52</v>
      </c>
      <c r="I128" s="4">
        <v>35.83</v>
      </c>
      <c r="J128" s="4">
        <v>96.84</v>
      </c>
      <c r="K128" s="4">
        <f t="shared" si="5"/>
        <v>1966.96</v>
      </c>
      <c r="L128" s="4">
        <f t="shared" si="6"/>
        <v>824.09</v>
      </c>
      <c r="M128" s="4">
        <f t="shared" si="7"/>
        <v>1142.87</v>
      </c>
      <c r="N128" s="4">
        <f t="shared" si="8"/>
        <v>58.1033676333021</v>
      </c>
      <c r="O128" s="4" t="str">
        <f t="shared" si="9"/>
        <v>2024-03</v>
      </c>
    </row>
    <row r="129" spans="1:15">
      <c r="A129" s="28">
        <v>45438</v>
      </c>
      <c r="B129" s="27">
        <v>45438</v>
      </c>
      <c r="C129" s="4">
        <v>1128</v>
      </c>
      <c r="D129" s="4" t="s">
        <v>47</v>
      </c>
      <c r="E129" s="4" t="s">
        <v>21</v>
      </c>
      <c r="F129" s="4" t="s">
        <v>17</v>
      </c>
      <c r="G129" s="4">
        <v>11</v>
      </c>
      <c r="H129" s="4">
        <v>72.53</v>
      </c>
      <c r="I129" s="4">
        <v>45.31</v>
      </c>
      <c r="J129" s="4">
        <v>57.56</v>
      </c>
      <c r="K129" s="4">
        <f t="shared" si="5"/>
        <v>797.83</v>
      </c>
      <c r="L129" s="4">
        <f t="shared" si="6"/>
        <v>498.41</v>
      </c>
      <c r="M129" s="4">
        <f t="shared" si="7"/>
        <v>299.42</v>
      </c>
      <c r="N129" s="4">
        <f t="shared" si="8"/>
        <v>37.5292982214256</v>
      </c>
      <c r="O129" s="4" t="str">
        <f t="shared" si="9"/>
        <v>2024-05</v>
      </c>
    </row>
    <row r="130" spans="1:15">
      <c r="A130" s="28">
        <v>45495</v>
      </c>
      <c r="B130" s="27">
        <v>45495</v>
      </c>
      <c r="C130" s="4">
        <v>1129</v>
      </c>
      <c r="D130" s="4" t="s">
        <v>45</v>
      </c>
      <c r="E130" s="4" t="s">
        <v>21</v>
      </c>
      <c r="F130" s="4" t="s">
        <v>25</v>
      </c>
      <c r="G130" s="4">
        <v>22</v>
      </c>
      <c r="H130" s="4">
        <v>20.54</v>
      </c>
      <c r="I130" s="4">
        <v>12.23</v>
      </c>
      <c r="J130" s="4">
        <v>149.47</v>
      </c>
      <c r="K130" s="4">
        <f t="shared" si="5"/>
        <v>451.88</v>
      </c>
      <c r="L130" s="4">
        <f t="shared" si="6"/>
        <v>269.06</v>
      </c>
      <c r="M130" s="4">
        <f t="shared" si="7"/>
        <v>182.82</v>
      </c>
      <c r="N130" s="4">
        <f t="shared" si="8"/>
        <v>40.4576436222006</v>
      </c>
      <c r="O130" s="4" t="str">
        <f t="shared" si="9"/>
        <v>2024-07</v>
      </c>
    </row>
    <row r="131" spans="1:15">
      <c r="A131" s="28">
        <v>45330</v>
      </c>
      <c r="B131" s="27">
        <v>45330</v>
      </c>
      <c r="C131" s="4">
        <v>1130</v>
      </c>
      <c r="D131" s="4" t="s">
        <v>42</v>
      </c>
      <c r="E131" s="4" t="s">
        <v>10</v>
      </c>
      <c r="F131" s="4" t="s">
        <v>14</v>
      </c>
      <c r="G131" s="4">
        <v>21</v>
      </c>
      <c r="H131" s="4">
        <v>109.76</v>
      </c>
      <c r="I131" s="4">
        <v>44.43</v>
      </c>
      <c r="J131" s="4">
        <v>20.04</v>
      </c>
      <c r="K131" s="4">
        <f t="shared" ref="K131:K194" si="10">G131*H131</f>
        <v>2304.96</v>
      </c>
      <c r="L131" s="4">
        <f t="shared" ref="L131:L194" si="11">I131*G131</f>
        <v>933.03</v>
      </c>
      <c r="M131" s="4">
        <f t="shared" ref="M131:M194" si="12">K131-L131</f>
        <v>1371.93</v>
      </c>
      <c r="N131" s="4">
        <f t="shared" ref="N131:N194" si="13">M131/K131*100</f>
        <v>59.5207725947522</v>
      </c>
      <c r="O131" s="4" t="str">
        <f t="shared" ref="O131:O194" si="14">TEXT(A131,"YYYY-MM")</f>
        <v>2024-02</v>
      </c>
    </row>
    <row r="132" spans="1:15">
      <c r="A132" s="28">
        <v>45580</v>
      </c>
      <c r="B132" s="27">
        <v>45580</v>
      </c>
      <c r="C132" s="4">
        <v>1131</v>
      </c>
      <c r="D132" s="4" t="s">
        <v>24</v>
      </c>
      <c r="E132" s="4" t="s">
        <v>10</v>
      </c>
      <c r="F132" s="4" t="s">
        <v>17</v>
      </c>
      <c r="G132" s="4">
        <v>6</v>
      </c>
      <c r="H132" s="4">
        <v>93.64</v>
      </c>
      <c r="I132" s="4">
        <v>40.12</v>
      </c>
      <c r="J132" s="4">
        <v>11.83</v>
      </c>
      <c r="K132" s="4">
        <f t="shared" si="10"/>
        <v>561.84</v>
      </c>
      <c r="L132" s="4">
        <f t="shared" si="11"/>
        <v>240.72</v>
      </c>
      <c r="M132" s="4">
        <f t="shared" si="12"/>
        <v>321.12</v>
      </c>
      <c r="N132" s="4">
        <f t="shared" si="13"/>
        <v>57.1550619393422</v>
      </c>
      <c r="O132" s="4" t="str">
        <f t="shared" si="14"/>
        <v>2024-10</v>
      </c>
    </row>
    <row r="133" spans="1:15">
      <c r="A133" s="28">
        <v>45418</v>
      </c>
      <c r="B133" s="27">
        <v>45418</v>
      </c>
      <c r="C133" s="4">
        <v>1132</v>
      </c>
      <c r="D133" s="4" t="s">
        <v>19</v>
      </c>
      <c r="E133" s="4" t="s">
        <v>16</v>
      </c>
      <c r="F133" s="4" t="s">
        <v>14</v>
      </c>
      <c r="G133" s="4">
        <v>1</v>
      </c>
      <c r="H133" s="4">
        <v>119.69</v>
      </c>
      <c r="I133" s="4">
        <v>62.59</v>
      </c>
      <c r="J133" s="4">
        <v>187.32</v>
      </c>
      <c r="K133" s="4">
        <f t="shared" si="10"/>
        <v>119.69</v>
      </c>
      <c r="L133" s="4">
        <f t="shared" si="11"/>
        <v>62.59</v>
      </c>
      <c r="M133" s="4">
        <f t="shared" si="12"/>
        <v>57.1</v>
      </c>
      <c r="N133" s="4">
        <f t="shared" si="13"/>
        <v>47.7065753195756</v>
      </c>
      <c r="O133" s="4" t="str">
        <f t="shared" si="14"/>
        <v>2024-05</v>
      </c>
    </row>
    <row r="134" spans="1:15">
      <c r="A134" s="28">
        <v>45336</v>
      </c>
      <c r="B134" s="27">
        <v>45336</v>
      </c>
      <c r="C134" s="4">
        <v>1133</v>
      </c>
      <c r="D134" s="4" t="s">
        <v>31</v>
      </c>
      <c r="E134" s="4" t="s">
        <v>16</v>
      </c>
      <c r="F134" s="4" t="s">
        <v>17</v>
      </c>
      <c r="G134" s="4">
        <v>17</v>
      </c>
      <c r="H134" s="4">
        <v>68.63</v>
      </c>
      <c r="I134" s="4">
        <v>24.73</v>
      </c>
      <c r="J134" s="4">
        <v>100.84</v>
      </c>
      <c r="K134" s="4">
        <f t="shared" si="10"/>
        <v>1166.71</v>
      </c>
      <c r="L134" s="4">
        <f t="shared" si="11"/>
        <v>420.41</v>
      </c>
      <c r="M134" s="4">
        <f t="shared" si="12"/>
        <v>746.3</v>
      </c>
      <c r="N134" s="4">
        <f t="shared" si="13"/>
        <v>63.9661955413085</v>
      </c>
      <c r="O134" s="4" t="str">
        <f t="shared" si="14"/>
        <v>2024-02</v>
      </c>
    </row>
    <row r="135" spans="1:15">
      <c r="A135" s="28">
        <v>45578</v>
      </c>
      <c r="B135" s="27">
        <v>45578</v>
      </c>
      <c r="C135" s="4">
        <v>1134</v>
      </c>
      <c r="D135" s="4" t="s">
        <v>36</v>
      </c>
      <c r="E135" s="4" t="s">
        <v>21</v>
      </c>
      <c r="F135" s="4" t="s">
        <v>25</v>
      </c>
      <c r="G135" s="4">
        <v>18</v>
      </c>
      <c r="H135" s="4">
        <v>84.84</v>
      </c>
      <c r="I135" s="4">
        <v>48.78</v>
      </c>
      <c r="J135" s="4">
        <v>127.75</v>
      </c>
      <c r="K135" s="4">
        <f t="shared" si="10"/>
        <v>1527.12</v>
      </c>
      <c r="L135" s="4">
        <f t="shared" si="11"/>
        <v>878.04</v>
      </c>
      <c r="M135" s="4">
        <f t="shared" si="12"/>
        <v>649.08</v>
      </c>
      <c r="N135" s="4">
        <f t="shared" si="13"/>
        <v>42.5035360678925</v>
      </c>
      <c r="O135" s="4" t="str">
        <f t="shared" si="14"/>
        <v>2024-10</v>
      </c>
    </row>
    <row r="136" customFormat="1" spans="1:15">
      <c r="A136" s="28">
        <v>45463</v>
      </c>
      <c r="B136" s="27">
        <v>45463</v>
      </c>
      <c r="C136" s="4">
        <v>1135</v>
      </c>
      <c r="D136" s="4" t="s">
        <v>34</v>
      </c>
      <c r="E136" s="4" t="s">
        <v>16</v>
      </c>
      <c r="F136" s="4" t="s">
        <v>25</v>
      </c>
      <c r="G136" s="4">
        <v>0</v>
      </c>
      <c r="H136" s="4">
        <v>40.16</v>
      </c>
      <c r="I136" s="4">
        <v>25.67</v>
      </c>
      <c r="J136" s="4">
        <v>190.81</v>
      </c>
      <c r="K136" s="4">
        <f t="shared" si="10"/>
        <v>0</v>
      </c>
      <c r="L136" s="4">
        <f t="shared" si="11"/>
        <v>0</v>
      </c>
      <c r="M136" s="4">
        <f t="shared" si="12"/>
        <v>0</v>
      </c>
      <c r="N136" s="4" t="e">
        <f t="shared" si="13"/>
        <v>#DIV/0!</v>
      </c>
      <c r="O136" s="4" t="str">
        <f t="shared" si="14"/>
        <v>2024-06</v>
      </c>
    </row>
    <row r="137" spans="1:15">
      <c r="A137" s="28">
        <v>45329</v>
      </c>
      <c r="B137" s="27">
        <v>45329</v>
      </c>
      <c r="C137" s="4">
        <v>1136</v>
      </c>
      <c r="D137" s="4" t="s">
        <v>20</v>
      </c>
      <c r="E137" s="4" t="s">
        <v>10</v>
      </c>
      <c r="F137" s="4" t="s">
        <v>25</v>
      </c>
      <c r="G137" s="4">
        <v>21</v>
      </c>
      <c r="H137" s="4">
        <v>66.27</v>
      </c>
      <c r="I137" s="4">
        <v>40.86</v>
      </c>
      <c r="J137" s="4">
        <v>62.2</v>
      </c>
      <c r="K137" s="4">
        <f t="shared" si="10"/>
        <v>1391.67</v>
      </c>
      <c r="L137" s="4">
        <f t="shared" si="11"/>
        <v>858.06</v>
      </c>
      <c r="M137" s="4">
        <f t="shared" si="12"/>
        <v>533.61</v>
      </c>
      <c r="N137" s="4">
        <f t="shared" si="13"/>
        <v>38.3431416930738</v>
      </c>
      <c r="O137" s="4" t="str">
        <f t="shared" si="14"/>
        <v>2024-02</v>
      </c>
    </row>
    <row r="138" spans="1:15">
      <c r="A138" s="28">
        <v>45347</v>
      </c>
      <c r="B138" s="27">
        <v>45347</v>
      </c>
      <c r="C138" s="4">
        <v>1137</v>
      </c>
      <c r="D138" s="4" t="s">
        <v>22</v>
      </c>
      <c r="E138" s="4" t="s">
        <v>23</v>
      </c>
      <c r="F138" s="4" t="s">
        <v>25</v>
      </c>
      <c r="G138" s="4">
        <v>17</v>
      </c>
      <c r="H138" s="4">
        <v>110.58</v>
      </c>
      <c r="I138" s="4">
        <v>73.08</v>
      </c>
      <c r="J138" s="4">
        <v>165.12</v>
      </c>
      <c r="K138" s="4">
        <f t="shared" si="10"/>
        <v>1879.86</v>
      </c>
      <c r="L138" s="4">
        <f t="shared" si="11"/>
        <v>1242.36</v>
      </c>
      <c r="M138" s="4">
        <f t="shared" si="12"/>
        <v>637.5</v>
      </c>
      <c r="N138" s="4">
        <f t="shared" si="13"/>
        <v>33.9120998372219</v>
      </c>
      <c r="O138" s="4" t="str">
        <f t="shared" si="14"/>
        <v>2024-02</v>
      </c>
    </row>
    <row r="139" spans="1:15">
      <c r="A139" s="28">
        <v>45557</v>
      </c>
      <c r="B139" s="27">
        <v>45557</v>
      </c>
      <c r="C139" s="4">
        <v>1138</v>
      </c>
      <c r="D139" s="4" t="s">
        <v>12</v>
      </c>
      <c r="E139" s="4" t="s">
        <v>21</v>
      </c>
      <c r="F139" s="4" t="s">
        <v>11</v>
      </c>
      <c r="G139" s="4">
        <v>16</v>
      </c>
      <c r="H139" s="4">
        <v>33.83</v>
      </c>
      <c r="I139" s="4">
        <v>12.65</v>
      </c>
      <c r="J139" s="4">
        <v>170.9</v>
      </c>
      <c r="K139" s="4">
        <f t="shared" si="10"/>
        <v>541.28</v>
      </c>
      <c r="L139" s="4">
        <f t="shared" si="11"/>
        <v>202.4</v>
      </c>
      <c r="M139" s="4">
        <f t="shared" si="12"/>
        <v>338.88</v>
      </c>
      <c r="N139" s="4">
        <f t="shared" si="13"/>
        <v>62.6071534141295</v>
      </c>
      <c r="O139" s="4" t="str">
        <f t="shared" si="14"/>
        <v>2024-09</v>
      </c>
    </row>
    <row r="140" spans="1:15">
      <c r="A140" s="28">
        <v>45364</v>
      </c>
      <c r="B140" s="27">
        <v>45364</v>
      </c>
      <c r="C140" s="4">
        <v>1139</v>
      </c>
      <c r="D140" s="4" t="s">
        <v>27</v>
      </c>
      <c r="E140" s="4" t="s">
        <v>23</v>
      </c>
      <c r="F140" s="4" t="s">
        <v>17</v>
      </c>
      <c r="G140" s="4">
        <v>1</v>
      </c>
      <c r="H140" s="4">
        <v>72.35</v>
      </c>
      <c r="I140" s="4">
        <v>31.74</v>
      </c>
      <c r="J140" s="4">
        <v>4.35</v>
      </c>
      <c r="K140" s="4">
        <f t="shared" si="10"/>
        <v>72.35</v>
      </c>
      <c r="L140" s="4">
        <f t="shared" si="11"/>
        <v>31.74</v>
      </c>
      <c r="M140" s="4">
        <f t="shared" si="12"/>
        <v>40.61</v>
      </c>
      <c r="N140" s="4">
        <f t="shared" si="13"/>
        <v>56.1299239806496</v>
      </c>
      <c r="O140" s="4" t="str">
        <f t="shared" si="14"/>
        <v>2024-03</v>
      </c>
    </row>
    <row r="141" spans="1:15">
      <c r="A141" s="28">
        <v>45467</v>
      </c>
      <c r="B141" s="27">
        <v>45467</v>
      </c>
      <c r="C141" s="4">
        <v>1140</v>
      </c>
      <c r="D141" s="4" t="s">
        <v>39</v>
      </c>
      <c r="E141" s="4" t="s">
        <v>23</v>
      </c>
      <c r="F141" s="4" t="s">
        <v>11</v>
      </c>
      <c r="G141" s="4">
        <v>2</v>
      </c>
      <c r="H141" s="4">
        <v>118.5</v>
      </c>
      <c r="I141" s="4">
        <v>50.86</v>
      </c>
      <c r="J141" s="4">
        <v>36</v>
      </c>
      <c r="K141" s="4">
        <f t="shared" si="10"/>
        <v>237</v>
      </c>
      <c r="L141" s="4">
        <f t="shared" si="11"/>
        <v>101.72</v>
      </c>
      <c r="M141" s="4">
        <f t="shared" si="12"/>
        <v>135.28</v>
      </c>
      <c r="N141" s="4">
        <f t="shared" si="13"/>
        <v>57.0801687763713</v>
      </c>
      <c r="O141" s="4" t="str">
        <f t="shared" si="14"/>
        <v>2024-06</v>
      </c>
    </row>
    <row r="142" spans="1:15">
      <c r="A142" s="28">
        <v>45306</v>
      </c>
      <c r="B142" s="27">
        <v>45306</v>
      </c>
      <c r="C142" s="4">
        <v>1141</v>
      </c>
      <c r="D142" s="4" t="s">
        <v>37</v>
      </c>
      <c r="E142" s="4" t="s">
        <v>21</v>
      </c>
      <c r="F142" s="4" t="s">
        <v>17</v>
      </c>
      <c r="G142" s="4">
        <v>21</v>
      </c>
      <c r="H142" s="4">
        <v>116.13</v>
      </c>
      <c r="I142" s="4">
        <v>41.79</v>
      </c>
      <c r="J142" s="4">
        <v>172.06</v>
      </c>
      <c r="K142" s="4">
        <f t="shared" si="10"/>
        <v>2438.73</v>
      </c>
      <c r="L142" s="4">
        <f t="shared" si="11"/>
        <v>877.59</v>
      </c>
      <c r="M142" s="4">
        <f t="shared" si="12"/>
        <v>1561.14</v>
      </c>
      <c r="N142" s="4">
        <f t="shared" si="13"/>
        <v>64.0144665461121</v>
      </c>
      <c r="O142" s="4" t="str">
        <f t="shared" si="14"/>
        <v>2024-01</v>
      </c>
    </row>
    <row r="143" spans="1:15">
      <c r="A143" s="28">
        <v>45444</v>
      </c>
      <c r="B143" s="27">
        <v>45444</v>
      </c>
      <c r="C143" s="4">
        <v>1142</v>
      </c>
      <c r="D143" s="4" t="s">
        <v>9</v>
      </c>
      <c r="E143" s="4" t="s">
        <v>16</v>
      </c>
      <c r="F143" s="4" t="s">
        <v>17</v>
      </c>
      <c r="G143" s="4">
        <v>17</v>
      </c>
      <c r="H143" s="4">
        <v>57.81</v>
      </c>
      <c r="I143" s="4">
        <v>23.32</v>
      </c>
      <c r="J143" s="4">
        <v>92.13</v>
      </c>
      <c r="K143" s="4">
        <f t="shared" si="10"/>
        <v>982.77</v>
      </c>
      <c r="L143" s="4">
        <f t="shared" si="11"/>
        <v>396.44</v>
      </c>
      <c r="M143" s="4">
        <f t="shared" si="12"/>
        <v>586.33</v>
      </c>
      <c r="N143" s="4">
        <f t="shared" si="13"/>
        <v>59.6609583117108</v>
      </c>
      <c r="O143" s="4" t="str">
        <f t="shared" si="14"/>
        <v>2024-06</v>
      </c>
    </row>
    <row r="144" spans="1:15">
      <c r="A144" s="28">
        <v>45541</v>
      </c>
      <c r="B144" s="27">
        <v>45541</v>
      </c>
      <c r="C144" s="4">
        <v>1143</v>
      </c>
      <c r="D144" s="4" t="s">
        <v>35</v>
      </c>
      <c r="E144" s="4" t="s">
        <v>16</v>
      </c>
      <c r="F144" s="4" t="s">
        <v>11</v>
      </c>
      <c r="G144" s="4">
        <v>2</v>
      </c>
      <c r="H144" s="4">
        <v>22.9</v>
      </c>
      <c r="I144" s="4">
        <v>15</v>
      </c>
      <c r="J144" s="4">
        <v>119.56</v>
      </c>
      <c r="K144" s="4">
        <f t="shared" si="10"/>
        <v>45.8</v>
      </c>
      <c r="L144" s="4">
        <f t="shared" si="11"/>
        <v>30</v>
      </c>
      <c r="M144" s="4">
        <f t="shared" si="12"/>
        <v>15.8</v>
      </c>
      <c r="N144" s="4">
        <f t="shared" si="13"/>
        <v>34.4978165938865</v>
      </c>
      <c r="O144" s="4" t="str">
        <f t="shared" si="14"/>
        <v>2024-09</v>
      </c>
    </row>
    <row r="145" spans="1:15">
      <c r="A145" s="28">
        <v>45488</v>
      </c>
      <c r="B145" s="27">
        <v>45488</v>
      </c>
      <c r="C145" s="4">
        <v>1144</v>
      </c>
      <c r="D145" s="4" t="s">
        <v>12</v>
      </c>
      <c r="E145" s="4" t="s">
        <v>10</v>
      </c>
      <c r="F145" s="4" t="s">
        <v>11</v>
      </c>
      <c r="G145" s="4">
        <v>9</v>
      </c>
      <c r="H145" s="4">
        <v>37.29</v>
      </c>
      <c r="I145" s="4">
        <v>20.85</v>
      </c>
      <c r="J145" s="4">
        <v>115.49</v>
      </c>
      <c r="K145" s="4">
        <f t="shared" si="10"/>
        <v>335.61</v>
      </c>
      <c r="L145" s="4">
        <f t="shared" si="11"/>
        <v>187.65</v>
      </c>
      <c r="M145" s="4">
        <f t="shared" si="12"/>
        <v>147.96</v>
      </c>
      <c r="N145" s="4">
        <f t="shared" si="13"/>
        <v>44.0868865647627</v>
      </c>
      <c r="O145" s="4" t="str">
        <f t="shared" si="14"/>
        <v>2024-07</v>
      </c>
    </row>
    <row r="146" spans="1:15">
      <c r="A146" s="28">
        <v>45439</v>
      </c>
      <c r="B146" s="27">
        <v>45439</v>
      </c>
      <c r="C146" s="4">
        <v>1145</v>
      </c>
      <c r="D146" s="4" t="s">
        <v>34</v>
      </c>
      <c r="E146" s="4" t="s">
        <v>10</v>
      </c>
      <c r="F146" s="4" t="s">
        <v>14</v>
      </c>
      <c r="G146" s="4">
        <v>13</v>
      </c>
      <c r="H146" s="4">
        <v>72.03</v>
      </c>
      <c r="I146" s="4">
        <v>32.77</v>
      </c>
      <c r="J146" s="4">
        <v>128.66</v>
      </c>
      <c r="K146" s="4">
        <f t="shared" si="10"/>
        <v>936.39</v>
      </c>
      <c r="L146" s="4">
        <f t="shared" si="11"/>
        <v>426.01</v>
      </c>
      <c r="M146" s="4">
        <f t="shared" si="12"/>
        <v>510.38</v>
      </c>
      <c r="N146" s="4">
        <f t="shared" si="13"/>
        <v>54.5050673330557</v>
      </c>
      <c r="O146" s="4" t="str">
        <f t="shared" si="14"/>
        <v>2024-05</v>
      </c>
    </row>
    <row r="147" spans="1:15">
      <c r="A147" s="28">
        <v>45571</v>
      </c>
      <c r="B147" s="27">
        <v>45571</v>
      </c>
      <c r="C147" s="4">
        <v>1146</v>
      </c>
      <c r="D147" s="4" t="s">
        <v>22</v>
      </c>
      <c r="E147" s="4" t="s">
        <v>21</v>
      </c>
      <c r="F147" s="4" t="s">
        <v>17</v>
      </c>
      <c r="G147" s="4">
        <v>7</v>
      </c>
      <c r="H147" s="4">
        <v>44.48</v>
      </c>
      <c r="I147" s="4">
        <v>29.47</v>
      </c>
      <c r="J147" s="4">
        <v>182.95</v>
      </c>
      <c r="K147" s="4">
        <f t="shared" si="10"/>
        <v>311.36</v>
      </c>
      <c r="L147" s="4">
        <f t="shared" si="11"/>
        <v>206.29</v>
      </c>
      <c r="M147" s="4">
        <f t="shared" si="12"/>
        <v>105.07</v>
      </c>
      <c r="N147" s="4">
        <f t="shared" si="13"/>
        <v>33.7455035971223</v>
      </c>
      <c r="O147" s="4" t="str">
        <f t="shared" si="14"/>
        <v>2024-10</v>
      </c>
    </row>
    <row r="148" spans="1:15">
      <c r="A148" s="28">
        <v>45441</v>
      </c>
      <c r="B148" s="27">
        <v>45441</v>
      </c>
      <c r="C148" s="4">
        <v>1147</v>
      </c>
      <c r="D148" s="4" t="s">
        <v>9</v>
      </c>
      <c r="E148" s="4" t="s">
        <v>21</v>
      </c>
      <c r="F148" s="4" t="s">
        <v>17</v>
      </c>
      <c r="G148" s="4">
        <v>2</v>
      </c>
      <c r="H148" s="4">
        <v>69.85</v>
      </c>
      <c r="I148" s="4">
        <v>22.57</v>
      </c>
      <c r="J148" s="4">
        <v>75.43</v>
      </c>
      <c r="K148" s="4">
        <f t="shared" si="10"/>
        <v>139.7</v>
      </c>
      <c r="L148" s="4">
        <f t="shared" si="11"/>
        <v>45.14</v>
      </c>
      <c r="M148" s="4">
        <f t="shared" si="12"/>
        <v>94.56</v>
      </c>
      <c r="N148" s="4">
        <f t="shared" si="13"/>
        <v>67.6879026485326</v>
      </c>
      <c r="O148" s="4" t="str">
        <f t="shared" si="14"/>
        <v>2024-05</v>
      </c>
    </row>
    <row r="149" spans="1:15">
      <c r="A149" s="28">
        <v>45480</v>
      </c>
      <c r="B149" s="27">
        <v>45480</v>
      </c>
      <c r="C149" s="4">
        <v>1148</v>
      </c>
      <c r="D149" s="4" t="s">
        <v>41</v>
      </c>
      <c r="E149" s="4" t="s">
        <v>10</v>
      </c>
      <c r="F149" s="4" t="s">
        <v>25</v>
      </c>
      <c r="G149" s="4">
        <v>0</v>
      </c>
      <c r="H149" s="4">
        <v>34.88</v>
      </c>
      <c r="I149" s="4">
        <v>22.1</v>
      </c>
      <c r="J149" s="4">
        <v>149.38</v>
      </c>
      <c r="K149" s="4">
        <f t="shared" si="10"/>
        <v>0</v>
      </c>
      <c r="L149" s="4">
        <f t="shared" si="11"/>
        <v>0</v>
      </c>
      <c r="M149" s="4">
        <f t="shared" si="12"/>
        <v>0</v>
      </c>
      <c r="N149" s="4" t="e">
        <f t="shared" si="13"/>
        <v>#DIV/0!</v>
      </c>
      <c r="O149" s="4" t="str">
        <f t="shared" si="14"/>
        <v>2024-07</v>
      </c>
    </row>
    <row r="150" spans="1:15">
      <c r="A150" s="28">
        <v>45511</v>
      </c>
      <c r="B150" s="27">
        <v>45511</v>
      </c>
      <c r="C150" s="4">
        <v>1149</v>
      </c>
      <c r="D150" s="4" t="s">
        <v>32</v>
      </c>
      <c r="E150" s="4" t="s">
        <v>10</v>
      </c>
      <c r="F150" s="4" t="s">
        <v>17</v>
      </c>
      <c r="G150" s="4">
        <v>20</v>
      </c>
      <c r="H150" s="4">
        <v>50.8</v>
      </c>
      <c r="I150" s="4">
        <v>26.96</v>
      </c>
      <c r="J150" s="4">
        <v>99.46</v>
      </c>
      <c r="K150" s="4">
        <f t="shared" si="10"/>
        <v>1016</v>
      </c>
      <c r="L150" s="4">
        <f t="shared" si="11"/>
        <v>539.2</v>
      </c>
      <c r="M150" s="4">
        <f t="shared" si="12"/>
        <v>476.8</v>
      </c>
      <c r="N150" s="4">
        <f t="shared" si="13"/>
        <v>46.9291338582677</v>
      </c>
      <c r="O150" s="4" t="str">
        <f t="shared" si="14"/>
        <v>2024-08</v>
      </c>
    </row>
    <row r="151" spans="1:15">
      <c r="A151" s="28">
        <v>45360</v>
      </c>
      <c r="B151" s="27">
        <v>45360</v>
      </c>
      <c r="C151" s="4">
        <v>1150</v>
      </c>
      <c r="D151" s="4" t="s">
        <v>53</v>
      </c>
      <c r="E151" s="4" t="s">
        <v>21</v>
      </c>
      <c r="F151" s="4" t="s">
        <v>14</v>
      </c>
      <c r="G151" s="4">
        <v>0</v>
      </c>
      <c r="H151" s="4">
        <v>40.16</v>
      </c>
      <c r="I151" s="4">
        <v>22.51</v>
      </c>
      <c r="J151" s="4">
        <v>83.52</v>
      </c>
      <c r="K151" s="4">
        <f t="shared" si="10"/>
        <v>0</v>
      </c>
      <c r="L151" s="4">
        <f t="shared" si="11"/>
        <v>0</v>
      </c>
      <c r="M151" s="4">
        <f t="shared" si="12"/>
        <v>0</v>
      </c>
      <c r="N151" s="4" t="e">
        <f t="shared" si="13"/>
        <v>#DIV/0!</v>
      </c>
      <c r="O151" s="4" t="str">
        <f t="shared" si="14"/>
        <v>2024-03</v>
      </c>
    </row>
    <row r="152" spans="1:15">
      <c r="A152" s="28">
        <v>45343</v>
      </c>
      <c r="B152" s="27">
        <v>45343</v>
      </c>
      <c r="C152" s="4">
        <v>1151</v>
      </c>
      <c r="D152" s="4" t="s">
        <v>9</v>
      </c>
      <c r="E152" s="4" t="s">
        <v>23</v>
      </c>
      <c r="F152" s="4" t="s">
        <v>25</v>
      </c>
      <c r="G152" s="4">
        <v>15</v>
      </c>
      <c r="H152" s="4">
        <v>116.38</v>
      </c>
      <c r="I152" s="4">
        <v>60.61</v>
      </c>
      <c r="J152" s="4">
        <v>33.65</v>
      </c>
      <c r="K152" s="4">
        <f t="shared" si="10"/>
        <v>1745.7</v>
      </c>
      <c r="L152" s="4">
        <f t="shared" si="11"/>
        <v>909.15</v>
      </c>
      <c r="M152" s="4">
        <f t="shared" si="12"/>
        <v>836.55</v>
      </c>
      <c r="N152" s="4">
        <f t="shared" si="13"/>
        <v>47.9206049149338</v>
      </c>
      <c r="O152" s="4" t="str">
        <f t="shared" si="14"/>
        <v>2024-02</v>
      </c>
    </row>
    <row r="153" spans="1:15">
      <c r="A153" s="28">
        <v>45305</v>
      </c>
      <c r="B153" s="27">
        <v>45305</v>
      </c>
      <c r="C153" s="4">
        <v>1152</v>
      </c>
      <c r="D153" s="4" t="s">
        <v>52</v>
      </c>
      <c r="E153" s="4" t="s">
        <v>16</v>
      </c>
      <c r="F153" s="4" t="s">
        <v>11</v>
      </c>
      <c r="G153" s="4">
        <v>21</v>
      </c>
      <c r="H153" s="4">
        <v>17.24</v>
      </c>
      <c r="I153" s="4">
        <v>10</v>
      </c>
      <c r="J153" s="4">
        <v>27.5</v>
      </c>
      <c r="K153" s="4">
        <f t="shared" si="10"/>
        <v>362.04</v>
      </c>
      <c r="L153" s="4">
        <f t="shared" si="11"/>
        <v>210</v>
      </c>
      <c r="M153" s="4">
        <f t="shared" si="12"/>
        <v>152.04</v>
      </c>
      <c r="N153" s="4">
        <f t="shared" si="13"/>
        <v>41.9953596287703</v>
      </c>
      <c r="O153" s="4" t="str">
        <f t="shared" si="14"/>
        <v>2024-01</v>
      </c>
    </row>
    <row r="154" spans="1:15">
      <c r="A154" s="28">
        <v>45299</v>
      </c>
      <c r="B154" s="27">
        <v>45299</v>
      </c>
      <c r="C154" s="4">
        <v>1153</v>
      </c>
      <c r="D154" s="4" t="s">
        <v>26</v>
      </c>
      <c r="E154" s="4" t="s">
        <v>23</v>
      </c>
      <c r="F154" s="4" t="s">
        <v>17</v>
      </c>
      <c r="G154" s="4">
        <v>0</v>
      </c>
      <c r="H154" s="4">
        <v>12.71</v>
      </c>
      <c r="I154" s="4">
        <v>3.88</v>
      </c>
      <c r="J154" s="4">
        <v>105.88</v>
      </c>
      <c r="K154" s="4">
        <f t="shared" si="10"/>
        <v>0</v>
      </c>
      <c r="L154" s="4">
        <f t="shared" si="11"/>
        <v>0</v>
      </c>
      <c r="M154" s="4">
        <f t="shared" si="12"/>
        <v>0</v>
      </c>
      <c r="N154" s="4" t="e">
        <f t="shared" si="13"/>
        <v>#DIV/0!</v>
      </c>
      <c r="O154" s="4" t="str">
        <f t="shared" si="14"/>
        <v>2024-01</v>
      </c>
    </row>
    <row r="155" spans="1:15">
      <c r="A155" s="28">
        <v>45553</v>
      </c>
      <c r="B155" s="27">
        <v>45553</v>
      </c>
      <c r="C155" s="4">
        <v>1154</v>
      </c>
      <c r="D155" s="4" t="s">
        <v>34</v>
      </c>
      <c r="E155" s="4" t="s">
        <v>23</v>
      </c>
      <c r="F155" s="4" t="s">
        <v>11</v>
      </c>
      <c r="G155" s="4">
        <v>16</v>
      </c>
      <c r="H155" s="4">
        <v>28.08</v>
      </c>
      <c r="I155" s="4">
        <v>15.08</v>
      </c>
      <c r="J155" s="4">
        <v>163.04</v>
      </c>
      <c r="K155" s="4">
        <f t="shared" si="10"/>
        <v>449.28</v>
      </c>
      <c r="L155" s="4">
        <f t="shared" si="11"/>
        <v>241.28</v>
      </c>
      <c r="M155" s="4">
        <f t="shared" si="12"/>
        <v>208</v>
      </c>
      <c r="N155" s="4">
        <f t="shared" si="13"/>
        <v>46.2962962962963</v>
      </c>
      <c r="O155" s="4" t="str">
        <f t="shared" si="14"/>
        <v>2024-09</v>
      </c>
    </row>
    <row r="156" customFormat="1" spans="1:15">
      <c r="A156" s="28">
        <v>45524</v>
      </c>
      <c r="B156" s="27">
        <v>45524</v>
      </c>
      <c r="C156" s="4">
        <v>1155</v>
      </c>
      <c r="D156" s="4" t="s">
        <v>12</v>
      </c>
      <c r="E156" s="4" t="s">
        <v>10</v>
      </c>
      <c r="F156" s="4" t="s">
        <v>11</v>
      </c>
      <c r="G156" s="4">
        <v>20</v>
      </c>
      <c r="H156" s="4">
        <v>94.04</v>
      </c>
      <c r="I156" s="4">
        <v>44.26</v>
      </c>
      <c r="J156" s="4">
        <v>110.54</v>
      </c>
      <c r="K156" s="4">
        <f t="shared" si="10"/>
        <v>1880.8</v>
      </c>
      <c r="L156" s="4">
        <f t="shared" si="11"/>
        <v>885.2</v>
      </c>
      <c r="M156" s="4">
        <f t="shared" si="12"/>
        <v>995.6</v>
      </c>
      <c r="N156" s="4">
        <f t="shared" si="13"/>
        <v>52.9349213100808</v>
      </c>
      <c r="O156" s="4" t="str">
        <f t="shared" si="14"/>
        <v>2024-08</v>
      </c>
    </row>
    <row r="157" spans="1:15">
      <c r="A157" s="28">
        <v>45429</v>
      </c>
      <c r="B157" s="27">
        <v>45429</v>
      </c>
      <c r="C157" s="4">
        <v>1156</v>
      </c>
      <c r="D157" s="4" t="s">
        <v>33</v>
      </c>
      <c r="E157" s="4" t="s">
        <v>23</v>
      </c>
      <c r="F157" s="4" t="s">
        <v>11</v>
      </c>
      <c r="G157" s="4">
        <v>1</v>
      </c>
      <c r="H157" s="4">
        <v>36.81</v>
      </c>
      <c r="I157" s="4">
        <v>22.51</v>
      </c>
      <c r="J157" s="4">
        <v>113.36</v>
      </c>
      <c r="K157" s="4">
        <f t="shared" si="10"/>
        <v>36.81</v>
      </c>
      <c r="L157" s="4">
        <f t="shared" si="11"/>
        <v>22.51</v>
      </c>
      <c r="M157" s="4">
        <f t="shared" si="12"/>
        <v>14.3</v>
      </c>
      <c r="N157" s="4">
        <f t="shared" si="13"/>
        <v>38.8481390926379</v>
      </c>
      <c r="O157" s="4" t="str">
        <f t="shared" si="14"/>
        <v>2024-05</v>
      </c>
    </row>
    <row r="158" spans="1:15">
      <c r="A158" s="28">
        <v>45377</v>
      </c>
      <c r="B158" s="27">
        <v>45377</v>
      </c>
      <c r="C158" s="4">
        <v>1157</v>
      </c>
      <c r="D158" s="4" t="s">
        <v>29</v>
      </c>
      <c r="E158" s="4" t="s">
        <v>16</v>
      </c>
      <c r="F158" s="4" t="s">
        <v>11</v>
      </c>
      <c r="G158" s="4">
        <v>18</v>
      </c>
      <c r="H158" s="4">
        <v>27.57</v>
      </c>
      <c r="I158" s="4">
        <v>18.46</v>
      </c>
      <c r="J158" s="4">
        <v>185.77</v>
      </c>
      <c r="K158" s="4">
        <f t="shared" si="10"/>
        <v>496.26</v>
      </c>
      <c r="L158" s="4">
        <f t="shared" si="11"/>
        <v>332.28</v>
      </c>
      <c r="M158" s="4">
        <f t="shared" si="12"/>
        <v>163.98</v>
      </c>
      <c r="N158" s="4">
        <f t="shared" si="13"/>
        <v>33.0431628581792</v>
      </c>
      <c r="O158" s="4" t="str">
        <f t="shared" si="14"/>
        <v>2024-03</v>
      </c>
    </row>
    <row r="159" spans="1:15">
      <c r="A159" s="28">
        <v>45310</v>
      </c>
      <c r="B159" s="27">
        <v>45310</v>
      </c>
      <c r="C159" s="4">
        <v>1158</v>
      </c>
      <c r="D159" s="4" t="s">
        <v>32</v>
      </c>
      <c r="E159" s="4" t="s">
        <v>21</v>
      </c>
      <c r="F159" s="4" t="s">
        <v>11</v>
      </c>
      <c r="G159" s="4">
        <v>11</v>
      </c>
      <c r="H159" s="4">
        <v>17.8</v>
      </c>
      <c r="I159" s="4">
        <v>12.06</v>
      </c>
      <c r="J159" s="4">
        <v>68.12</v>
      </c>
      <c r="K159" s="4">
        <f t="shared" si="10"/>
        <v>195.8</v>
      </c>
      <c r="L159" s="4">
        <f t="shared" si="11"/>
        <v>132.66</v>
      </c>
      <c r="M159" s="4">
        <f t="shared" si="12"/>
        <v>63.14</v>
      </c>
      <c r="N159" s="4">
        <f t="shared" si="13"/>
        <v>32.247191011236</v>
      </c>
      <c r="O159" s="4" t="str">
        <f t="shared" si="14"/>
        <v>2024-01</v>
      </c>
    </row>
    <row r="160" spans="1:15">
      <c r="A160" s="28">
        <v>45556</v>
      </c>
      <c r="B160" s="27">
        <v>45556</v>
      </c>
      <c r="C160" s="4">
        <v>1159</v>
      </c>
      <c r="D160" s="4" t="s">
        <v>24</v>
      </c>
      <c r="E160" s="4" t="s">
        <v>21</v>
      </c>
      <c r="F160" s="4" t="s">
        <v>14</v>
      </c>
      <c r="G160" s="4">
        <v>12</v>
      </c>
      <c r="H160" s="4">
        <v>58.64</v>
      </c>
      <c r="I160" s="4">
        <v>35.03</v>
      </c>
      <c r="J160" s="4">
        <v>17.14</v>
      </c>
      <c r="K160" s="4">
        <f t="shared" si="10"/>
        <v>703.68</v>
      </c>
      <c r="L160" s="4">
        <f t="shared" si="11"/>
        <v>420.36</v>
      </c>
      <c r="M160" s="4">
        <f t="shared" si="12"/>
        <v>283.32</v>
      </c>
      <c r="N160" s="4">
        <f t="shared" si="13"/>
        <v>40.262619372442</v>
      </c>
      <c r="O160" s="4" t="str">
        <f t="shared" si="14"/>
        <v>2024-09</v>
      </c>
    </row>
    <row r="161" spans="1:15">
      <c r="A161" s="28">
        <v>45558</v>
      </c>
      <c r="B161" s="27">
        <v>45558</v>
      </c>
      <c r="C161" s="4">
        <v>1160</v>
      </c>
      <c r="D161" s="4" t="s">
        <v>22</v>
      </c>
      <c r="E161" s="4" t="s">
        <v>23</v>
      </c>
      <c r="F161" s="4" t="s">
        <v>17</v>
      </c>
      <c r="G161" s="4">
        <v>3</v>
      </c>
      <c r="H161" s="4">
        <v>21.88</v>
      </c>
      <c r="I161" s="4">
        <v>10.94</v>
      </c>
      <c r="J161" s="4">
        <v>152.27</v>
      </c>
      <c r="K161" s="4">
        <f t="shared" si="10"/>
        <v>65.64</v>
      </c>
      <c r="L161" s="4">
        <f t="shared" si="11"/>
        <v>32.82</v>
      </c>
      <c r="M161" s="4">
        <f t="shared" si="12"/>
        <v>32.82</v>
      </c>
      <c r="N161" s="4">
        <f t="shared" si="13"/>
        <v>50</v>
      </c>
      <c r="O161" s="4" t="str">
        <f t="shared" si="14"/>
        <v>2024-09</v>
      </c>
    </row>
    <row r="162" spans="1:15">
      <c r="A162" s="28">
        <v>45493</v>
      </c>
      <c r="B162" s="27">
        <v>45493</v>
      </c>
      <c r="C162" s="4">
        <v>1161</v>
      </c>
      <c r="D162" s="4" t="s">
        <v>29</v>
      </c>
      <c r="E162" s="4" t="s">
        <v>23</v>
      </c>
      <c r="F162" s="4" t="s">
        <v>11</v>
      </c>
      <c r="G162" s="4">
        <v>25</v>
      </c>
      <c r="H162" s="4">
        <v>47.04</v>
      </c>
      <c r="I162" s="4">
        <v>20.29</v>
      </c>
      <c r="J162" s="4">
        <v>77.56</v>
      </c>
      <c r="K162" s="4">
        <f t="shared" si="10"/>
        <v>1176</v>
      </c>
      <c r="L162" s="4">
        <f t="shared" si="11"/>
        <v>507.25</v>
      </c>
      <c r="M162" s="4">
        <f t="shared" si="12"/>
        <v>668.75</v>
      </c>
      <c r="N162" s="4">
        <f t="shared" si="13"/>
        <v>56.8664965986395</v>
      </c>
      <c r="O162" s="4" t="str">
        <f t="shared" si="14"/>
        <v>2024-07</v>
      </c>
    </row>
    <row r="163" spans="1:15">
      <c r="A163" s="28">
        <v>45367</v>
      </c>
      <c r="B163" s="27">
        <v>45367</v>
      </c>
      <c r="C163" s="4">
        <v>1162</v>
      </c>
      <c r="D163" s="4" t="s">
        <v>31</v>
      </c>
      <c r="E163" s="4" t="s">
        <v>10</v>
      </c>
      <c r="F163" s="4" t="s">
        <v>25</v>
      </c>
      <c r="G163" s="4">
        <v>15</v>
      </c>
      <c r="H163" s="4">
        <v>27.76</v>
      </c>
      <c r="I163" s="4">
        <v>11.78</v>
      </c>
      <c r="J163" s="4">
        <v>59.95</v>
      </c>
      <c r="K163" s="4">
        <f t="shared" si="10"/>
        <v>416.4</v>
      </c>
      <c r="L163" s="4">
        <f t="shared" si="11"/>
        <v>176.7</v>
      </c>
      <c r="M163" s="4">
        <f t="shared" si="12"/>
        <v>239.7</v>
      </c>
      <c r="N163" s="4">
        <f t="shared" si="13"/>
        <v>57.5648414985591</v>
      </c>
      <c r="O163" s="4" t="str">
        <f t="shared" si="14"/>
        <v>2024-03</v>
      </c>
    </row>
    <row r="164" spans="1:15">
      <c r="A164" s="28">
        <v>45528</v>
      </c>
      <c r="B164" s="27">
        <v>45528</v>
      </c>
      <c r="C164" s="4">
        <v>1163</v>
      </c>
      <c r="D164" s="4" t="s">
        <v>36</v>
      </c>
      <c r="E164" s="4" t="s">
        <v>23</v>
      </c>
      <c r="F164" s="4" t="s">
        <v>11</v>
      </c>
      <c r="G164" s="4">
        <v>0</v>
      </c>
      <c r="H164" s="4">
        <v>114.47</v>
      </c>
      <c r="I164" s="4">
        <v>66.29</v>
      </c>
      <c r="J164" s="4">
        <v>160.82</v>
      </c>
      <c r="K164" s="4">
        <f t="shared" si="10"/>
        <v>0</v>
      </c>
      <c r="L164" s="4">
        <f t="shared" si="11"/>
        <v>0</v>
      </c>
      <c r="M164" s="4">
        <f t="shared" si="12"/>
        <v>0</v>
      </c>
      <c r="N164" s="4" t="e">
        <f t="shared" si="13"/>
        <v>#DIV/0!</v>
      </c>
      <c r="O164" s="4" t="str">
        <f t="shared" si="14"/>
        <v>2024-08</v>
      </c>
    </row>
    <row r="165" spans="1:15">
      <c r="A165" s="28">
        <v>45606</v>
      </c>
      <c r="B165" s="27">
        <v>45606</v>
      </c>
      <c r="C165" s="4">
        <v>1164</v>
      </c>
      <c r="D165" s="4" t="s">
        <v>36</v>
      </c>
      <c r="E165" s="4" t="s">
        <v>10</v>
      </c>
      <c r="F165" s="4" t="s">
        <v>14</v>
      </c>
      <c r="G165" s="4">
        <v>5</v>
      </c>
      <c r="H165" s="4">
        <v>116.17</v>
      </c>
      <c r="I165" s="4">
        <v>50.09</v>
      </c>
      <c r="J165" s="4">
        <v>138.99</v>
      </c>
      <c r="K165" s="4">
        <f t="shared" si="10"/>
        <v>580.85</v>
      </c>
      <c r="L165" s="4">
        <f t="shared" si="11"/>
        <v>250.45</v>
      </c>
      <c r="M165" s="4">
        <f t="shared" si="12"/>
        <v>330.4</v>
      </c>
      <c r="N165" s="4">
        <f t="shared" si="13"/>
        <v>56.8821554618232</v>
      </c>
      <c r="O165" s="4" t="str">
        <f t="shared" si="14"/>
        <v>2024-11</v>
      </c>
    </row>
    <row r="166" spans="1:15">
      <c r="A166" s="28">
        <v>45582</v>
      </c>
      <c r="B166" s="27">
        <v>45582</v>
      </c>
      <c r="C166" s="4">
        <v>1165</v>
      </c>
      <c r="D166" s="4" t="s">
        <v>42</v>
      </c>
      <c r="E166" s="4" t="s">
        <v>23</v>
      </c>
      <c r="F166" s="4" t="s">
        <v>14</v>
      </c>
      <c r="G166" s="4">
        <v>17</v>
      </c>
      <c r="H166" s="4">
        <v>31.43</v>
      </c>
      <c r="I166" s="4">
        <v>9.81</v>
      </c>
      <c r="J166" s="4">
        <v>145.44</v>
      </c>
      <c r="K166" s="4">
        <f t="shared" si="10"/>
        <v>534.31</v>
      </c>
      <c r="L166" s="4">
        <f t="shared" si="11"/>
        <v>166.77</v>
      </c>
      <c r="M166" s="4">
        <f t="shared" si="12"/>
        <v>367.54</v>
      </c>
      <c r="N166" s="4">
        <f t="shared" si="13"/>
        <v>68.7877823735285</v>
      </c>
      <c r="O166" s="4" t="str">
        <f t="shared" si="14"/>
        <v>2024-10</v>
      </c>
    </row>
    <row r="167" spans="1:15">
      <c r="A167" s="28">
        <v>45514</v>
      </c>
      <c r="B167" s="27">
        <v>45514</v>
      </c>
      <c r="C167" s="4">
        <v>1166</v>
      </c>
      <c r="D167" s="4" t="s">
        <v>20</v>
      </c>
      <c r="E167" s="4" t="s">
        <v>16</v>
      </c>
      <c r="F167" s="4" t="s">
        <v>17</v>
      </c>
      <c r="G167" s="4">
        <v>4</v>
      </c>
      <c r="H167" s="4">
        <v>80.4</v>
      </c>
      <c r="I167" s="4">
        <v>47.95</v>
      </c>
      <c r="J167" s="4">
        <v>143.05</v>
      </c>
      <c r="K167" s="4">
        <f t="shared" si="10"/>
        <v>321.6</v>
      </c>
      <c r="L167" s="4">
        <f t="shared" si="11"/>
        <v>191.8</v>
      </c>
      <c r="M167" s="4">
        <f t="shared" si="12"/>
        <v>129.8</v>
      </c>
      <c r="N167" s="4">
        <f t="shared" si="13"/>
        <v>40.3606965174129</v>
      </c>
      <c r="O167" s="4" t="str">
        <f t="shared" si="14"/>
        <v>2024-08</v>
      </c>
    </row>
    <row r="168" spans="1:15">
      <c r="A168" s="28">
        <v>45341</v>
      </c>
      <c r="B168" s="27">
        <v>45341</v>
      </c>
      <c r="C168" s="4">
        <v>1167</v>
      </c>
      <c r="D168" s="4" t="s">
        <v>31</v>
      </c>
      <c r="E168" s="4" t="s">
        <v>23</v>
      </c>
      <c r="F168" s="4" t="s">
        <v>17</v>
      </c>
      <c r="G168" s="4">
        <v>25</v>
      </c>
      <c r="H168" s="4">
        <v>116.59</v>
      </c>
      <c r="I168" s="4">
        <v>77.59</v>
      </c>
      <c r="J168" s="4">
        <v>118.76</v>
      </c>
      <c r="K168" s="4">
        <f t="shared" si="10"/>
        <v>2914.75</v>
      </c>
      <c r="L168" s="4">
        <f t="shared" si="11"/>
        <v>1939.75</v>
      </c>
      <c r="M168" s="4">
        <f t="shared" si="12"/>
        <v>975</v>
      </c>
      <c r="N168" s="4">
        <f t="shared" si="13"/>
        <v>33.4505532206879</v>
      </c>
      <c r="O168" s="4" t="str">
        <f t="shared" si="14"/>
        <v>2024-02</v>
      </c>
    </row>
    <row r="169" spans="1:15">
      <c r="A169" s="28">
        <v>45313</v>
      </c>
      <c r="B169" s="27">
        <v>45313</v>
      </c>
      <c r="C169" s="4">
        <v>1168</v>
      </c>
      <c r="D169" s="4" t="s">
        <v>43</v>
      </c>
      <c r="E169" s="4" t="s">
        <v>10</v>
      </c>
      <c r="F169" s="4" t="s">
        <v>17</v>
      </c>
      <c r="G169" s="4">
        <v>10</v>
      </c>
      <c r="H169" s="4">
        <v>116.3</v>
      </c>
      <c r="I169" s="4">
        <v>35.44</v>
      </c>
      <c r="J169" s="4">
        <v>51.75</v>
      </c>
      <c r="K169" s="4">
        <f t="shared" si="10"/>
        <v>1163</v>
      </c>
      <c r="L169" s="4">
        <f t="shared" si="11"/>
        <v>354.4</v>
      </c>
      <c r="M169" s="4">
        <f t="shared" si="12"/>
        <v>808.6</v>
      </c>
      <c r="N169" s="4">
        <f t="shared" si="13"/>
        <v>69.5270851246776</v>
      </c>
      <c r="O169" s="4" t="str">
        <f t="shared" si="14"/>
        <v>2024-01</v>
      </c>
    </row>
    <row r="170" spans="1:15">
      <c r="A170" s="28">
        <v>45433</v>
      </c>
      <c r="B170" s="27">
        <v>45433</v>
      </c>
      <c r="C170" s="4">
        <v>1169</v>
      </c>
      <c r="D170" s="4" t="s">
        <v>9</v>
      </c>
      <c r="E170" s="4" t="s">
        <v>23</v>
      </c>
      <c r="F170" s="4" t="s">
        <v>14</v>
      </c>
      <c r="G170" s="4">
        <v>0</v>
      </c>
      <c r="H170" s="4">
        <v>64.14</v>
      </c>
      <c r="I170" s="4">
        <v>45.81</v>
      </c>
      <c r="J170" s="4">
        <v>17.17</v>
      </c>
      <c r="K170" s="4">
        <f t="shared" si="10"/>
        <v>0</v>
      </c>
      <c r="L170" s="4">
        <f t="shared" si="11"/>
        <v>0</v>
      </c>
      <c r="M170" s="4">
        <f t="shared" si="12"/>
        <v>0</v>
      </c>
      <c r="N170" s="4" t="e">
        <f t="shared" si="13"/>
        <v>#DIV/0!</v>
      </c>
      <c r="O170" s="4" t="str">
        <f t="shared" si="14"/>
        <v>2024-05</v>
      </c>
    </row>
    <row r="171" spans="1:15">
      <c r="A171" s="28">
        <v>45413</v>
      </c>
      <c r="B171" s="27">
        <v>45413</v>
      </c>
      <c r="C171" s="4">
        <v>1170</v>
      </c>
      <c r="D171" s="4" t="s">
        <v>15</v>
      </c>
      <c r="E171" s="4" t="s">
        <v>10</v>
      </c>
      <c r="F171" s="4" t="s">
        <v>11</v>
      </c>
      <c r="G171" s="4">
        <v>22</v>
      </c>
      <c r="H171" s="4">
        <v>60.86</v>
      </c>
      <c r="I171" s="4">
        <v>19.48</v>
      </c>
      <c r="J171" s="4">
        <v>142.16</v>
      </c>
      <c r="K171" s="4">
        <f t="shared" si="10"/>
        <v>1338.92</v>
      </c>
      <c r="L171" s="4">
        <f t="shared" si="11"/>
        <v>428.56</v>
      </c>
      <c r="M171" s="4">
        <f t="shared" si="12"/>
        <v>910.36</v>
      </c>
      <c r="N171" s="4">
        <f t="shared" si="13"/>
        <v>67.9921130463359</v>
      </c>
      <c r="O171" s="4" t="str">
        <f t="shared" si="14"/>
        <v>2024-05</v>
      </c>
    </row>
    <row r="172" spans="1:15">
      <c r="A172" s="28">
        <v>45518</v>
      </c>
      <c r="B172" s="27">
        <v>45518</v>
      </c>
      <c r="C172" s="4">
        <v>1171</v>
      </c>
      <c r="D172" s="4" t="s">
        <v>52</v>
      </c>
      <c r="E172" s="4" t="s">
        <v>10</v>
      </c>
      <c r="F172" s="4" t="s">
        <v>25</v>
      </c>
      <c r="G172" s="4">
        <v>14</v>
      </c>
      <c r="H172" s="4">
        <v>37.04</v>
      </c>
      <c r="I172" s="4">
        <v>14.19</v>
      </c>
      <c r="J172" s="4">
        <v>128.1</v>
      </c>
      <c r="K172" s="4">
        <f t="shared" si="10"/>
        <v>518.56</v>
      </c>
      <c r="L172" s="4">
        <f t="shared" si="11"/>
        <v>198.66</v>
      </c>
      <c r="M172" s="4">
        <f t="shared" si="12"/>
        <v>319.9</v>
      </c>
      <c r="N172" s="4">
        <f t="shared" si="13"/>
        <v>61.6900647948164</v>
      </c>
      <c r="O172" s="4" t="str">
        <f t="shared" si="14"/>
        <v>2024-08</v>
      </c>
    </row>
    <row r="173" spans="1:15">
      <c r="A173" s="28">
        <v>45432</v>
      </c>
      <c r="B173" s="27">
        <v>45432</v>
      </c>
      <c r="C173" s="4">
        <v>1172</v>
      </c>
      <c r="D173" s="4" t="s">
        <v>12</v>
      </c>
      <c r="E173" s="4" t="s">
        <v>23</v>
      </c>
      <c r="F173" s="4" t="s">
        <v>14</v>
      </c>
      <c r="G173" s="4">
        <v>22</v>
      </c>
      <c r="H173" s="4">
        <v>99.34</v>
      </c>
      <c r="I173" s="4">
        <v>34.35</v>
      </c>
      <c r="J173" s="4">
        <v>174.4</v>
      </c>
      <c r="K173" s="4">
        <f t="shared" si="10"/>
        <v>2185.48</v>
      </c>
      <c r="L173" s="4">
        <f t="shared" si="11"/>
        <v>755.7</v>
      </c>
      <c r="M173" s="4">
        <f t="shared" si="12"/>
        <v>1429.78</v>
      </c>
      <c r="N173" s="4">
        <f t="shared" si="13"/>
        <v>65.4217837729011</v>
      </c>
      <c r="O173" s="4" t="str">
        <f t="shared" si="14"/>
        <v>2024-05</v>
      </c>
    </row>
    <row r="174" spans="1:15">
      <c r="A174" s="28">
        <v>45424</v>
      </c>
      <c r="B174" s="27">
        <v>45424</v>
      </c>
      <c r="C174" s="4">
        <v>1173</v>
      </c>
      <c r="D174" s="4" t="s">
        <v>34</v>
      </c>
      <c r="E174" s="4" t="s">
        <v>23</v>
      </c>
      <c r="F174" s="4" t="s">
        <v>17</v>
      </c>
      <c r="G174" s="4">
        <v>18</v>
      </c>
      <c r="H174" s="4">
        <v>24.34</v>
      </c>
      <c r="I174" s="4">
        <v>12.32</v>
      </c>
      <c r="J174" s="4">
        <v>34.51</v>
      </c>
      <c r="K174" s="4">
        <f t="shared" si="10"/>
        <v>438.12</v>
      </c>
      <c r="L174" s="4">
        <f t="shared" si="11"/>
        <v>221.76</v>
      </c>
      <c r="M174" s="4">
        <f t="shared" si="12"/>
        <v>216.36</v>
      </c>
      <c r="N174" s="4">
        <f t="shared" si="13"/>
        <v>49.3837304847987</v>
      </c>
      <c r="O174" s="4" t="str">
        <f t="shared" si="14"/>
        <v>2024-05</v>
      </c>
    </row>
    <row r="175" spans="1:15">
      <c r="A175" s="28">
        <v>45473</v>
      </c>
      <c r="B175" s="27">
        <v>45473</v>
      </c>
      <c r="C175" s="4">
        <v>1174</v>
      </c>
      <c r="D175" s="4" t="s">
        <v>34</v>
      </c>
      <c r="E175" s="4" t="s">
        <v>10</v>
      </c>
      <c r="F175" s="4" t="s">
        <v>11</v>
      </c>
      <c r="G175" s="4">
        <v>22</v>
      </c>
      <c r="H175" s="4">
        <v>27.27</v>
      </c>
      <c r="I175" s="4">
        <v>15.5</v>
      </c>
      <c r="J175" s="4">
        <v>114.96</v>
      </c>
      <c r="K175" s="4">
        <f t="shared" si="10"/>
        <v>599.94</v>
      </c>
      <c r="L175" s="4">
        <f t="shared" si="11"/>
        <v>341</v>
      </c>
      <c r="M175" s="4">
        <f t="shared" si="12"/>
        <v>258.94</v>
      </c>
      <c r="N175" s="4">
        <f t="shared" si="13"/>
        <v>43.1609827649432</v>
      </c>
      <c r="O175" s="4" t="str">
        <f t="shared" si="14"/>
        <v>2024-06</v>
      </c>
    </row>
    <row r="176" spans="1:15">
      <c r="A176" s="28">
        <v>45391</v>
      </c>
      <c r="B176" s="27">
        <v>45391</v>
      </c>
      <c r="C176" s="4">
        <v>1175</v>
      </c>
      <c r="D176" s="4" t="s">
        <v>36</v>
      </c>
      <c r="E176" s="4" t="s">
        <v>10</v>
      </c>
      <c r="F176" s="4" t="s">
        <v>14</v>
      </c>
      <c r="G176" s="4">
        <v>14</v>
      </c>
      <c r="H176" s="4">
        <v>78.9</v>
      </c>
      <c r="I176" s="4">
        <v>57.47</v>
      </c>
      <c r="J176" s="4">
        <v>96.92</v>
      </c>
      <c r="K176" s="4">
        <f t="shared" si="10"/>
        <v>1104.6</v>
      </c>
      <c r="L176" s="4">
        <f t="shared" si="11"/>
        <v>804.58</v>
      </c>
      <c r="M176" s="4">
        <f t="shared" si="12"/>
        <v>300.02</v>
      </c>
      <c r="N176" s="4">
        <f t="shared" si="13"/>
        <v>27.1609632446135</v>
      </c>
      <c r="O176" s="4" t="str">
        <f t="shared" si="14"/>
        <v>2024-04</v>
      </c>
    </row>
    <row r="177" spans="1:15">
      <c r="A177" s="28">
        <v>45384</v>
      </c>
      <c r="B177" s="27">
        <v>45384</v>
      </c>
      <c r="C177" s="4">
        <v>1176</v>
      </c>
      <c r="D177" s="4" t="s">
        <v>44</v>
      </c>
      <c r="E177" s="4" t="s">
        <v>23</v>
      </c>
      <c r="F177" s="4" t="s">
        <v>17</v>
      </c>
      <c r="G177" s="4">
        <v>2</v>
      </c>
      <c r="H177" s="4">
        <v>73.06</v>
      </c>
      <c r="I177" s="4">
        <v>29.17</v>
      </c>
      <c r="J177" s="4">
        <v>6.54</v>
      </c>
      <c r="K177" s="4">
        <f t="shared" si="10"/>
        <v>146.12</v>
      </c>
      <c r="L177" s="4">
        <f t="shared" si="11"/>
        <v>58.34</v>
      </c>
      <c r="M177" s="4">
        <f t="shared" si="12"/>
        <v>87.78</v>
      </c>
      <c r="N177" s="4">
        <f t="shared" si="13"/>
        <v>60.0739118532713</v>
      </c>
      <c r="O177" s="4" t="str">
        <f t="shared" si="14"/>
        <v>2024-04</v>
      </c>
    </row>
    <row r="178" spans="1:15">
      <c r="A178" s="28">
        <v>45358</v>
      </c>
      <c r="B178" s="27">
        <v>45358</v>
      </c>
      <c r="C178" s="4">
        <v>1176</v>
      </c>
      <c r="D178" s="4" t="s">
        <v>44</v>
      </c>
      <c r="E178" s="4" t="s">
        <v>23</v>
      </c>
      <c r="F178" s="4" t="s">
        <v>17</v>
      </c>
      <c r="G178" s="4">
        <v>2</v>
      </c>
      <c r="H178" s="4">
        <v>73.06</v>
      </c>
      <c r="I178" s="4">
        <v>29.17</v>
      </c>
      <c r="J178" s="4">
        <v>6.54</v>
      </c>
      <c r="K178" s="4">
        <f t="shared" si="10"/>
        <v>146.12</v>
      </c>
      <c r="L178" s="4">
        <f t="shared" si="11"/>
        <v>58.34</v>
      </c>
      <c r="M178" s="4">
        <f t="shared" si="12"/>
        <v>87.78</v>
      </c>
      <c r="N178" s="4">
        <f t="shared" si="13"/>
        <v>60.0739118532713</v>
      </c>
      <c r="O178" s="4" t="str">
        <f t="shared" si="14"/>
        <v>2024-03</v>
      </c>
    </row>
    <row r="179" spans="1:15">
      <c r="A179" s="28">
        <v>45525</v>
      </c>
      <c r="B179" s="27">
        <v>45525</v>
      </c>
      <c r="C179" s="4">
        <v>1177</v>
      </c>
      <c r="D179" s="4" t="s">
        <v>19</v>
      </c>
      <c r="E179" s="4" t="s">
        <v>23</v>
      </c>
      <c r="F179" s="4" t="s">
        <v>11</v>
      </c>
      <c r="G179" s="4">
        <v>17</v>
      </c>
      <c r="H179" s="4">
        <v>100.91</v>
      </c>
      <c r="I179" s="4">
        <v>67.63</v>
      </c>
      <c r="J179" s="4">
        <v>8.32</v>
      </c>
      <c r="K179" s="4">
        <f t="shared" si="10"/>
        <v>1715.47</v>
      </c>
      <c r="L179" s="4">
        <f t="shared" si="11"/>
        <v>1149.71</v>
      </c>
      <c r="M179" s="4">
        <f t="shared" si="12"/>
        <v>565.76</v>
      </c>
      <c r="N179" s="4">
        <f t="shared" si="13"/>
        <v>32.9798830641165</v>
      </c>
      <c r="O179" s="4" t="str">
        <f t="shared" si="14"/>
        <v>2024-08</v>
      </c>
    </row>
    <row r="180" spans="1:15">
      <c r="A180" s="28">
        <v>45408</v>
      </c>
      <c r="B180" s="27">
        <v>45408</v>
      </c>
      <c r="C180" s="4">
        <v>1178</v>
      </c>
      <c r="D180" s="4" t="s">
        <v>19</v>
      </c>
      <c r="E180" s="4" t="s">
        <v>10</v>
      </c>
      <c r="F180" s="4" t="s">
        <v>17</v>
      </c>
      <c r="G180" s="4">
        <v>2</v>
      </c>
      <c r="H180" s="4">
        <v>59.42</v>
      </c>
      <c r="I180" s="4">
        <v>38.57</v>
      </c>
      <c r="J180" s="4">
        <v>47.39</v>
      </c>
      <c r="K180" s="4">
        <f t="shared" si="10"/>
        <v>118.84</v>
      </c>
      <c r="L180" s="4">
        <f t="shared" si="11"/>
        <v>77.14</v>
      </c>
      <c r="M180" s="4">
        <f t="shared" si="12"/>
        <v>41.7</v>
      </c>
      <c r="N180" s="4">
        <f t="shared" si="13"/>
        <v>35.0891955570515</v>
      </c>
      <c r="O180" s="4" t="str">
        <f t="shared" si="14"/>
        <v>2024-04</v>
      </c>
    </row>
    <row r="181" spans="1:15">
      <c r="A181" s="28">
        <v>45630</v>
      </c>
      <c r="B181" s="27">
        <v>45630</v>
      </c>
      <c r="C181" s="4">
        <v>1179</v>
      </c>
      <c r="D181" s="4" t="s">
        <v>28</v>
      </c>
      <c r="E181" s="4" t="s">
        <v>23</v>
      </c>
      <c r="F181" s="4" t="s">
        <v>14</v>
      </c>
      <c r="G181" s="4">
        <v>25</v>
      </c>
      <c r="H181" s="4">
        <v>18.41</v>
      </c>
      <c r="I181" s="4">
        <v>7.85</v>
      </c>
      <c r="J181" s="4">
        <v>107.75</v>
      </c>
      <c r="K181" s="4">
        <f t="shared" si="10"/>
        <v>460.25</v>
      </c>
      <c r="L181" s="4">
        <f t="shared" si="11"/>
        <v>196.25</v>
      </c>
      <c r="M181" s="4">
        <f t="shared" si="12"/>
        <v>264</v>
      </c>
      <c r="N181" s="4">
        <f t="shared" si="13"/>
        <v>57.3601303639326</v>
      </c>
      <c r="O181" s="4" t="str">
        <f t="shared" si="14"/>
        <v>2024-12</v>
      </c>
    </row>
    <row r="182" spans="1:15">
      <c r="A182" s="28">
        <v>45395</v>
      </c>
      <c r="B182" s="27">
        <v>45395</v>
      </c>
      <c r="C182" s="4">
        <v>1180</v>
      </c>
      <c r="D182" s="4" t="s">
        <v>33</v>
      </c>
      <c r="E182" s="4" t="s">
        <v>16</v>
      </c>
      <c r="F182" s="4" t="s">
        <v>17</v>
      </c>
      <c r="G182" s="4">
        <v>8</v>
      </c>
      <c r="H182" s="4">
        <v>105.64</v>
      </c>
      <c r="I182" s="4">
        <v>72.86</v>
      </c>
      <c r="J182" s="4">
        <v>49.94</v>
      </c>
      <c r="K182" s="4">
        <f t="shared" si="10"/>
        <v>845.12</v>
      </c>
      <c r="L182" s="4">
        <f t="shared" si="11"/>
        <v>582.88</v>
      </c>
      <c r="M182" s="4">
        <f t="shared" si="12"/>
        <v>262.24</v>
      </c>
      <c r="N182" s="4">
        <f t="shared" si="13"/>
        <v>31.0299129117758</v>
      </c>
      <c r="O182" s="4" t="str">
        <f t="shared" si="14"/>
        <v>2024-04</v>
      </c>
    </row>
    <row r="183" spans="1:15">
      <c r="A183" s="28">
        <v>45338</v>
      </c>
      <c r="B183" s="27">
        <v>45338</v>
      </c>
      <c r="C183" s="4">
        <v>1181</v>
      </c>
      <c r="D183" s="4" t="s">
        <v>44</v>
      </c>
      <c r="E183" s="4" t="s">
        <v>10</v>
      </c>
      <c r="F183" s="4" t="s">
        <v>17</v>
      </c>
      <c r="G183" s="4">
        <v>2</v>
      </c>
      <c r="H183" s="4">
        <v>80.43</v>
      </c>
      <c r="I183" s="4">
        <v>27.5</v>
      </c>
      <c r="J183" s="4">
        <v>103.12</v>
      </c>
      <c r="K183" s="4">
        <f t="shared" si="10"/>
        <v>160.86</v>
      </c>
      <c r="L183" s="4">
        <f t="shared" si="11"/>
        <v>55</v>
      </c>
      <c r="M183" s="4">
        <f t="shared" si="12"/>
        <v>105.86</v>
      </c>
      <c r="N183" s="4">
        <f t="shared" si="13"/>
        <v>65.8087778192217</v>
      </c>
      <c r="O183" s="4" t="str">
        <f t="shared" si="14"/>
        <v>2024-02</v>
      </c>
    </row>
    <row r="184" spans="1:15">
      <c r="A184" s="28">
        <v>45465</v>
      </c>
      <c r="B184" s="27">
        <v>45465</v>
      </c>
      <c r="C184" s="4">
        <v>1182</v>
      </c>
      <c r="D184" s="4" t="s">
        <v>31</v>
      </c>
      <c r="E184" s="4" t="s">
        <v>16</v>
      </c>
      <c r="F184" s="4" t="s">
        <v>11</v>
      </c>
      <c r="G184" s="4">
        <v>14</v>
      </c>
      <c r="H184" s="4">
        <v>80.56</v>
      </c>
      <c r="I184" s="4">
        <v>54.99</v>
      </c>
      <c r="J184" s="4">
        <v>159.14</v>
      </c>
      <c r="K184" s="4">
        <f t="shared" si="10"/>
        <v>1127.84</v>
      </c>
      <c r="L184" s="4">
        <f t="shared" si="11"/>
        <v>769.86</v>
      </c>
      <c r="M184" s="4">
        <f t="shared" si="12"/>
        <v>357.98</v>
      </c>
      <c r="N184" s="4">
        <f t="shared" si="13"/>
        <v>31.740317775571</v>
      </c>
      <c r="O184" s="4" t="str">
        <f t="shared" si="14"/>
        <v>2024-06</v>
      </c>
    </row>
    <row r="185" spans="1:15">
      <c r="A185" s="28">
        <v>45297</v>
      </c>
      <c r="B185" s="27">
        <v>45297</v>
      </c>
      <c r="C185" s="4">
        <v>1183</v>
      </c>
      <c r="D185" s="4" t="s">
        <v>38</v>
      </c>
      <c r="E185" s="4" t="s">
        <v>21</v>
      </c>
      <c r="F185" s="4" t="s">
        <v>17</v>
      </c>
      <c r="G185" s="4">
        <v>21</v>
      </c>
      <c r="H185" s="4">
        <v>94.32</v>
      </c>
      <c r="I185" s="4">
        <v>54.87</v>
      </c>
      <c r="J185" s="4">
        <v>167.34</v>
      </c>
      <c r="K185" s="4">
        <f t="shared" si="10"/>
        <v>1980.72</v>
      </c>
      <c r="L185" s="4">
        <f t="shared" si="11"/>
        <v>1152.27</v>
      </c>
      <c r="M185" s="4">
        <f t="shared" si="12"/>
        <v>828.45</v>
      </c>
      <c r="N185" s="4">
        <f t="shared" si="13"/>
        <v>41.8256997455471</v>
      </c>
      <c r="O185" s="4" t="str">
        <f t="shared" si="14"/>
        <v>2024-01</v>
      </c>
    </row>
    <row r="186" spans="1:15">
      <c r="A186" s="28">
        <v>45599</v>
      </c>
      <c r="B186" s="27">
        <v>45599</v>
      </c>
      <c r="C186" s="4">
        <v>1184</v>
      </c>
      <c r="D186" s="4" t="s">
        <v>37</v>
      </c>
      <c r="E186" s="4" t="s">
        <v>10</v>
      </c>
      <c r="F186" s="4" t="s">
        <v>25</v>
      </c>
      <c r="G186" s="4">
        <v>8</v>
      </c>
      <c r="H186" s="4">
        <v>22.08</v>
      </c>
      <c r="I186" s="4">
        <v>7.44</v>
      </c>
      <c r="J186" s="4">
        <v>132.9</v>
      </c>
      <c r="K186" s="4">
        <f t="shared" si="10"/>
        <v>176.64</v>
      </c>
      <c r="L186" s="4">
        <f t="shared" si="11"/>
        <v>59.52</v>
      </c>
      <c r="M186" s="4">
        <f t="shared" si="12"/>
        <v>117.12</v>
      </c>
      <c r="N186" s="4">
        <f t="shared" si="13"/>
        <v>66.304347826087</v>
      </c>
      <c r="O186" s="4" t="str">
        <f t="shared" si="14"/>
        <v>2024-11</v>
      </c>
    </row>
    <row r="187" customFormat="1" spans="1:15">
      <c r="A187" s="28">
        <v>45552</v>
      </c>
      <c r="B187" s="27">
        <v>45552</v>
      </c>
      <c r="C187" s="4">
        <v>1185</v>
      </c>
      <c r="D187" s="4" t="s">
        <v>20</v>
      </c>
      <c r="E187" s="4" t="s">
        <v>10</v>
      </c>
      <c r="F187" s="4" t="s">
        <v>11</v>
      </c>
      <c r="G187" s="4">
        <v>15</v>
      </c>
      <c r="H187" s="4">
        <v>20.42</v>
      </c>
      <c r="I187" s="4">
        <v>10.9</v>
      </c>
      <c r="J187" s="4">
        <v>89.01</v>
      </c>
      <c r="K187" s="4">
        <f t="shared" si="10"/>
        <v>306.3</v>
      </c>
      <c r="L187" s="4">
        <f t="shared" si="11"/>
        <v>163.5</v>
      </c>
      <c r="M187" s="4">
        <f t="shared" si="12"/>
        <v>142.8</v>
      </c>
      <c r="N187" s="4">
        <f t="shared" si="13"/>
        <v>46.6209598432909</v>
      </c>
      <c r="O187" s="4" t="str">
        <f t="shared" si="14"/>
        <v>2024-09</v>
      </c>
    </row>
    <row r="188" customFormat="1" spans="1:15">
      <c r="A188" s="28">
        <v>45419</v>
      </c>
      <c r="B188" s="27">
        <v>45419</v>
      </c>
      <c r="C188" s="4">
        <v>1186</v>
      </c>
      <c r="D188" s="4" t="s">
        <v>37</v>
      </c>
      <c r="E188" s="4" t="s">
        <v>10</v>
      </c>
      <c r="F188" s="4" t="s">
        <v>11</v>
      </c>
      <c r="G188" s="4">
        <v>3</v>
      </c>
      <c r="H188" s="4">
        <v>23.15</v>
      </c>
      <c r="I188" s="4">
        <v>10.06</v>
      </c>
      <c r="J188" s="4">
        <v>76.54</v>
      </c>
      <c r="K188" s="4">
        <f t="shared" si="10"/>
        <v>69.45</v>
      </c>
      <c r="L188" s="4">
        <f t="shared" si="11"/>
        <v>30.18</v>
      </c>
      <c r="M188" s="4">
        <f t="shared" si="12"/>
        <v>39.27</v>
      </c>
      <c r="N188" s="4">
        <f t="shared" si="13"/>
        <v>56.5442764578834</v>
      </c>
      <c r="O188" s="4" t="str">
        <f t="shared" si="14"/>
        <v>2024-05</v>
      </c>
    </row>
    <row r="189" spans="1:15">
      <c r="A189" s="28">
        <v>45609</v>
      </c>
      <c r="B189" s="27">
        <v>45609</v>
      </c>
      <c r="C189" s="4">
        <v>1187</v>
      </c>
      <c r="D189" s="4" t="s">
        <v>18</v>
      </c>
      <c r="E189" s="4" t="s">
        <v>16</v>
      </c>
      <c r="F189" s="4" t="s">
        <v>25</v>
      </c>
      <c r="G189" s="4">
        <v>20</v>
      </c>
      <c r="H189" s="4">
        <v>92.81</v>
      </c>
      <c r="I189" s="4">
        <v>53.57</v>
      </c>
      <c r="J189" s="4">
        <v>88.48</v>
      </c>
      <c r="K189" s="4">
        <f t="shared" si="10"/>
        <v>1856.2</v>
      </c>
      <c r="L189" s="4">
        <f t="shared" si="11"/>
        <v>1071.4</v>
      </c>
      <c r="M189" s="4">
        <f t="shared" si="12"/>
        <v>784.8</v>
      </c>
      <c r="N189" s="4">
        <f t="shared" si="13"/>
        <v>42.2799267320332</v>
      </c>
      <c r="O189" s="4" t="str">
        <f t="shared" si="14"/>
        <v>2024-11</v>
      </c>
    </row>
    <row r="190" spans="1:15">
      <c r="A190" s="28">
        <v>45504</v>
      </c>
      <c r="B190" s="27">
        <v>45504</v>
      </c>
      <c r="C190" s="4">
        <v>1188</v>
      </c>
      <c r="D190" s="4" t="s">
        <v>19</v>
      </c>
      <c r="E190" s="4" t="s">
        <v>23</v>
      </c>
      <c r="F190" s="4" t="s">
        <v>14</v>
      </c>
      <c r="G190" s="4">
        <v>20</v>
      </c>
      <c r="H190" s="4">
        <v>21.1</v>
      </c>
      <c r="I190" s="4">
        <v>12.03</v>
      </c>
      <c r="J190" s="4">
        <v>121.52</v>
      </c>
      <c r="K190" s="4">
        <f t="shared" si="10"/>
        <v>422</v>
      </c>
      <c r="L190" s="4">
        <f t="shared" si="11"/>
        <v>240.6</v>
      </c>
      <c r="M190" s="4">
        <f t="shared" si="12"/>
        <v>181.4</v>
      </c>
      <c r="N190" s="4">
        <f t="shared" si="13"/>
        <v>42.9857819905213</v>
      </c>
      <c r="O190" s="4" t="str">
        <f t="shared" si="14"/>
        <v>2024-07</v>
      </c>
    </row>
    <row r="191" spans="1:15">
      <c r="A191" s="28">
        <v>45436</v>
      </c>
      <c r="B191" s="27">
        <v>45436</v>
      </c>
      <c r="C191" s="4">
        <v>1189</v>
      </c>
      <c r="D191" s="4" t="s">
        <v>47</v>
      </c>
      <c r="E191" s="4" t="s">
        <v>10</v>
      </c>
      <c r="F191" s="4" t="s">
        <v>17</v>
      </c>
      <c r="G191" s="4">
        <v>1</v>
      </c>
      <c r="H191" s="4">
        <v>96.65</v>
      </c>
      <c r="I191" s="4">
        <v>39.4</v>
      </c>
      <c r="J191" s="4">
        <v>77.18</v>
      </c>
      <c r="K191" s="4">
        <f t="shared" si="10"/>
        <v>96.65</v>
      </c>
      <c r="L191" s="4">
        <f t="shared" si="11"/>
        <v>39.4</v>
      </c>
      <c r="M191" s="4">
        <f t="shared" si="12"/>
        <v>57.25</v>
      </c>
      <c r="N191" s="4">
        <f t="shared" si="13"/>
        <v>59.2343507501293</v>
      </c>
      <c r="O191" s="4" t="str">
        <f t="shared" si="14"/>
        <v>2024-05</v>
      </c>
    </row>
    <row r="192" spans="1:15">
      <c r="A192" s="28">
        <v>45453</v>
      </c>
      <c r="B192" s="27">
        <v>45453</v>
      </c>
      <c r="C192" s="4">
        <v>1189</v>
      </c>
      <c r="D192" s="4" t="s">
        <v>47</v>
      </c>
      <c r="E192" s="4" t="s">
        <v>10</v>
      </c>
      <c r="F192" s="4" t="s">
        <v>17</v>
      </c>
      <c r="G192" s="4">
        <v>1</v>
      </c>
      <c r="H192" s="4">
        <v>96.65</v>
      </c>
      <c r="I192" s="4">
        <v>39.4</v>
      </c>
      <c r="J192" s="4">
        <v>77.18</v>
      </c>
      <c r="K192" s="4">
        <f t="shared" si="10"/>
        <v>96.65</v>
      </c>
      <c r="L192" s="4">
        <f t="shared" si="11"/>
        <v>39.4</v>
      </c>
      <c r="M192" s="4">
        <f t="shared" si="12"/>
        <v>57.25</v>
      </c>
      <c r="N192" s="4">
        <f t="shared" si="13"/>
        <v>59.2343507501293</v>
      </c>
      <c r="O192" s="4" t="str">
        <f t="shared" si="14"/>
        <v>2024-06</v>
      </c>
    </row>
    <row r="193" spans="1:15">
      <c r="A193" s="28">
        <v>45623</v>
      </c>
      <c r="B193" s="27">
        <v>45623</v>
      </c>
      <c r="C193" s="4">
        <v>1190</v>
      </c>
      <c r="D193" s="4" t="s">
        <v>24</v>
      </c>
      <c r="E193" s="4" t="s">
        <v>21</v>
      </c>
      <c r="F193" s="4" t="s">
        <v>17</v>
      </c>
      <c r="G193" s="4">
        <v>21</v>
      </c>
      <c r="H193" s="4">
        <v>30.66</v>
      </c>
      <c r="I193" s="4">
        <v>22.82</v>
      </c>
      <c r="J193" s="4">
        <v>14.6</v>
      </c>
      <c r="K193" s="4">
        <f t="shared" si="10"/>
        <v>643.86</v>
      </c>
      <c r="L193" s="4">
        <f t="shared" si="11"/>
        <v>479.22</v>
      </c>
      <c r="M193" s="4">
        <f t="shared" si="12"/>
        <v>164.64</v>
      </c>
      <c r="N193" s="4">
        <f t="shared" si="13"/>
        <v>25.5707762557078</v>
      </c>
      <c r="O193" s="4" t="str">
        <f t="shared" si="14"/>
        <v>2024-11</v>
      </c>
    </row>
    <row r="194" spans="1:15">
      <c r="A194" s="28">
        <v>45363</v>
      </c>
      <c r="B194" s="27">
        <v>45363</v>
      </c>
      <c r="C194" s="4">
        <v>1191</v>
      </c>
      <c r="D194" s="4" t="s">
        <v>39</v>
      </c>
      <c r="E194" s="4" t="s">
        <v>23</v>
      </c>
      <c r="F194" s="4" t="s">
        <v>17</v>
      </c>
      <c r="G194" s="4">
        <v>12</v>
      </c>
      <c r="H194" s="4">
        <v>20.9</v>
      </c>
      <c r="I194" s="4">
        <v>12.06</v>
      </c>
      <c r="J194" s="4">
        <v>55.49</v>
      </c>
      <c r="K194" s="4">
        <f t="shared" si="10"/>
        <v>250.8</v>
      </c>
      <c r="L194" s="4">
        <f t="shared" si="11"/>
        <v>144.72</v>
      </c>
      <c r="M194" s="4">
        <f t="shared" si="12"/>
        <v>106.08</v>
      </c>
      <c r="N194" s="4">
        <f t="shared" si="13"/>
        <v>42.2966507177033</v>
      </c>
      <c r="O194" s="4" t="str">
        <f t="shared" si="14"/>
        <v>2024-03</v>
      </c>
    </row>
    <row r="195" spans="1:15">
      <c r="A195" s="28">
        <v>45411</v>
      </c>
      <c r="B195" s="27">
        <v>45411</v>
      </c>
      <c r="C195" s="4">
        <v>1192</v>
      </c>
      <c r="D195" s="4" t="s">
        <v>22</v>
      </c>
      <c r="E195" s="4" t="s">
        <v>21</v>
      </c>
      <c r="F195" s="4" t="s">
        <v>11</v>
      </c>
      <c r="G195" s="4">
        <v>13</v>
      </c>
      <c r="H195" s="4">
        <v>90.84</v>
      </c>
      <c r="I195" s="4">
        <v>29.62</v>
      </c>
      <c r="J195" s="4">
        <v>17.24</v>
      </c>
      <c r="K195" s="4">
        <f t="shared" ref="K195:K204" si="15">G195*H195</f>
        <v>1180.92</v>
      </c>
      <c r="L195" s="4">
        <f t="shared" ref="L195:L204" si="16">I195*G195</f>
        <v>385.06</v>
      </c>
      <c r="M195" s="4">
        <f t="shared" ref="M195:M204" si="17">K195-L195</f>
        <v>795.86</v>
      </c>
      <c r="N195" s="4">
        <f t="shared" ref="N195:N204" si="18">M195/K195*100</f>
        <v>67.3932188463232</v>
      </c>
      <c r="O195" s="4" t="str">
        <f t="shared" ref="O195:O204" si="19">TEXT(A195,"YYYY-MM")</f>
        <v>2024-04</v>
      </c>
    </row>
    <row r="196" spans="1:15">
      <c r="A196" s="28">
        <v>45461</v>
      </c>
      <c r="B196" s="27">
        <v>45461</v>
      </c>
      <c r="C196" s="4">
        <v>1193</v>
      </c>
      <c r="D196" s="4" t="s">
        <v>34</v>
      </c>
      <c r="E196" s="4" t="s">
        <v>10</v>
      </c>
      <c r="F196" s="4" t="s">
        <v>11</v>
      </c>
      <c r="G196" s="4">
        <v>11</v>
      </c>
      <c r="H196" s="4">
        <v>68.48</v>
      </c>
      <c r="I196" s="4">
        <v>42.76</v>
      </c>
      <c r="J196" s="4">
        <v>33.39</v>
      </c>
      <c r="K196" s="4">
        <f t="shared" si="15"/>
        <v>753.28</v>
      </c>
      <c r="L196" s="4">
        <f t="shared" si="16"/>
        <v>470.36</v>
      </c>
      <c r="M196" s="4">
        <f t="shared" si="17"/>
        <v>282.92</v>
      </c>
      <c r="N196" s="4">
        <f t="shared" si="18"/>
        <v>37.5584112149533</v>
      </c>
      <c r="O196" s="4" t="str">
        <f t="shared" si="19"/>
        <v>2024-06</v>
      </c>
    </row>
    <row r="197" spans="1:15">
      <c r="A197" s="28">
        <v>45538</v>
      </c>
      <c r="B197" s="27">
        <v>45538</v>
      </c>
      <c r="C197" s="4">
        <v>1194</v>
      </c>
      <c r="D197" s="4" t="s">
        <v>27</v>
      </c>
      <c r="E197" s="4" t="s">
        <v>16</v>
      </c>
      <c r="F197" s="4" t="s">
        <v>11</v>
      </c>
      <c r="G197" s="4">
        <v>18</v>
      </c>
      <c r="H197" s="4">
        <v>79.77</v>
      </c>
      <c r="I197" s="4">
        <v>42.27</v>
      </c>
      <c r="J197" s="4">
        <v>11.09</v>
      </c>
      <c r="K197" s="4">
        <f t="shared" si="15"/>
        <v>1435.86</v>
      </c>
      <c r="L197" s="4">
        <f t="shared" si="16"/>
        <v>760.86</v>
      </c>
      <c r="M197" s="4">
        <f t="shared" si="17"/>
        <v>675</v>
      </c>
      <c r="N197" s="4">
        <f t="shared" si="18"/>
        <v>47.0101541933057</v>
      </c>
      <c r="O197" s="4" t="str">
        <f t="shared" si="19"/>
        <v>2024-09</v>
      </c>
    </row>
    <row r="198" spans="1:15">
      <c r="A198" s="28">
        <v>45409</v>
      </c>
      <c r="B198" s="27">
        <v>45409</v>
      </c>
      <c r="C198" s="4">
        <v>1195</v>
      </c>
      <c r="D198" s="4" t="s">
        <v>35</v>
      </c>
      <c r="E198" s="4" t="s">
        <v>16</v>
      </c>
      <c r="F198" s="4" t="s">
        <v>11</v>
      </c>
      <c r="G198" s="4">
        <v>0</v>
      </c>
      <c r="H198" s="4">
        <v>38.41</v>
      </c>
      <c r="I198" s="4">
        <v>18.14</v>
      </c>
      <c r="J198" s="4">
        <v>30.02</v>
      </c>
      <c r="K198" s="4">
        <f t="shared" si="15"/>
        <v>0</v>
      </c>
      <c r="L198" s="4">
        <f t="shared" si="16"/>
        <v>0</v>
      </c>
      <c r="M198" s="4">
        <f t="shared" si="17"/>
        <v>0</v>
      </c>
      <c r="N198" s="4" t="e">
        <f t="shared" si="18"/>
        <v>#DIV/0!</v>
      </c>
      <c r="O198" s="4" t="str">
        <f t="shared" si="19"/>
        <v>2024-04</v>
      </c>
    </row>
    <row r="199" spans="1:15">
      <c r="A199" s="28">
        <v>45549</v>
      </c>
      <c r="B199" s="27">
        <v>45549</v>
      </c>
      <c r="C199" s="4">
        <v>1196</v>
      </c>
      <c r="D199" s="4" t="s">
        <v>19</v>
      </c>
      <c r="E199" s="4" t="s">
        <v>23</v>
      </c>
      <c r="F199" s="4" t="s">
        <v>25</v>
      </c>
      <c r="G199" s="4">
        <v>2</v>
      </c>
      <c r="H199" s="4">
        <v>73.73</v>
      </c>
      <c r="I199" s="4">
        <v>44.46</v>
      </c>
      <c r="J199" s="4">
        <v>10.53</v>
      </c>
      <c r="K199" s="4">
        <f t="shared" si="15"/>
        <v>147.46</v>
      </c>
      <c r="L199" s="4">
        <f t="shared" si="16"/>
        <v>88.92</v>
      </c>
      <c r="M199" s="4">
        <f t="shared" si="17"/>
        <v>58.54</v>
      </c>
      <c r="N199" s="4">
        <f t="shared" si="18"/>
        <v>39.698901396989</v>
      </c>
      <c r="O199" s="4" t="str">
        <f t="shared" si="19"/>
        <v>2024-09</v>
      </c>
    </row>
    <row r="200" spans="1:15">
      <c r="A200" s="28">
        <v>45421</v>
      </c>
      <c r="B200" s="27">
        <v>45421</v>
      </c>
      <c r="C200" s="4">
        <v>1197</v>
      </c>
      <c r="D200" s="4" t="s">
        <v>18</v>
      </c>
      <c r="E200" s="4" t="s">
        <v>23</v>
      </c>
      <c r="F200" s="4" t="s">
        <v>25</v>
      </c>
      <c r="G200" s="4">
        <v>17</v>
      </c>
      <c r="H200" s="4">
        <v>61.33</v>
      </c>
      <c r="I200" s="4">
        <v>26.45</v>
      </c>
      <c r="J200" s="4">
        <v>156.9</v>
      </c>
      <c r="K200" s="4">
        <f t="shared" si="15"/>
        <v>1042.61</v>
      </c>
      <c r="L200" s="4">
        <f t="shared" si="16"/>
        <v>449.65</v>
      </c>
      <c r="M200" s="4">
        <f t="shared" si="17"/>
        <v>592.96</v>
      </c>
      <c r="N200" s="4">
        <f t="shared" si="18"/>
        <v>56.8726561226154</v>
      </c>
      <c r="O200" s="4" t="str">
        <f t="shared" si="19"/>
        <v>2024-05</v>
      </c>
    </row>
    <row r="201" spans="1:15">
      <c r="A201" s="28">
        <v>45449</v>
      </c>
      <c r="B201" s="27">
        <v>45449</v>
      </c>
      <c r="C201" s="4">
        <v>1198</v>
      </c>
      <c r="D201" s="4" t="s">
        <v>44</v>
      </c>
      <c r="E201" s="4" t="s">
        <v>10</v>
      </c>
      <c r="F201" s="4" t="s">
        <v>14</v>
      </c>
      <c r="G201" s="4">
        <v>13</v>
      </c>
      <c r="H201" s="4">
        <v>14.58</v>
      </c>
      <c r="I201" s="4">
        <v>8.55</v>
      </c>
      <c r="J201" s="4">
        <v>138.69</v>
      </c>
      <c r="K201" s="4">
        <f t="shared" si="15"/>
        <v>189.54</v>
      </c>
      <c r="L201" s="4">
        <f t="shared" si="16"/>
        <v>111.15</v>
      </c>
      <c r="M201" s="4">
        <f t="shared" si="17"/>
        <v>78.39</v>
      </c>
      <c r="N201" s="4">
        <f t="shared" si="18"/>
        <v>41.358024691358</v>
      </c>
      <c r="O201" s="4" t="str">
        <f t="shared" si="19"/>
        <v>2024-06</v>
      </c>
    </row>
    <row r="202" customFormat="1" spans="1:15">
      <c r="A202" s="28">
        <v>45311</v>
      </c>
      <c r="B202" s="27">
        <v>45311</v>
      </c>
      <c r="C202" s="4">
        <v>1199</v>
      </c>
      <c r="D202" s="4" t="s">
        <v>33</v>
      </c>
      <c r="E202" s="4" t="s">
        <v>21</v>
      </c>
      <c r="F202" s="4" t="s">
        <v>14</v>
      </c>
      <c r="G202" s="4">
        <v>1</v>
      </c>
      <c r="H202" s="4">
        <v>117.04</v>
      </c>
      <c r="I202" s="4">
        <v>49.85</v>
      </c>
      <c r="J202" s="4">
        <v>8.78</v>
      </c>
      <c r="K202" s="4">
        <f t="shared" si="15"/>
        <v>117.04</v>
      </c>
      <c r="L202" s="4">
        <f t="shared" si="16"/>
        <v>49.85</v>
      </c>
      <c r="M202" s="4">
        <f t="shared" si="17"/>
        <v>67.19</v>
      </c>
      <c r="N202" s="4">
        <f t="shared" si="18"/>
        <v>57.4077238550923</v>
      </c>
      <c r="O202" s="4" t="str">
        <f t="shared" si="19"/>
        <v>2024-01</v>
      </c>
    </row>
    <row r="203" spans="1:15">
      <c r="A203" s="28">
        <v>45598</v>
      </c>
      <c r="B203" s="27">
        <v>45598</v>
      </c>
      <c r="C203" s="4">
        <v>1200</v>
      </c>
      <c r="D203" s="4" t="s">
        <v>12</v>
      </c>
      <c r="E203" s="4" t="s">
        <v>16</v>
      </c>
      <c r="F203" s="4" t="s">
        <v>17</v>
      </c>
      <c r="G203" s="4">
        <v>18</v>
      </c>
      <c r="H203" s="4">
        <v>18.73</v>
      </c>
      <c r="I203" s="4">
        <v>6.72</v>
      </c>
      <c r="J203" s="4">
        <v>58.34</v>
      </c>
      <c r="K203" s="4">
        <f t="shared" si="15"/>
        <v>337.14</v>
      </c>
      <c r="L203" s="4">
        <f t="shared" si="16"/>
        <v>120.96</v>
      </c>
      <c r="M203" s="4">
        <f t="shared" si="17"/>
        <v>216.18</v>
      </c>
      <c r="N203" s="4">
        <f t="shared" si="18"/>
        <v>64.1217298451682</v>
      </c>
      <c r="O203" s="4" t="str">
        <f t="shared" si="19"/>
        <v>2024-11</v>
      </c>
    </row>
    <row r="204" spans="1:15">
      <c r="A204" s="28">
        <v>45381</v>
      </c>
      <c r="B204" s="27">
        <v>45381</v>
      </c>
      <c r="C204" s="4">
        <v>1201</v>
      </c>
      <c r="D204" s="4" t="s">
        <v>38</v>
      </c>
      <c r="E204" s="4" t="s">
        <v>23</v>
      </c>
      <c r="F204" s="4" t="s">
        <v>14</v>
      </c>
      <c r="G204" s="4">
        <v>24</v>
      </c>
      <c r="H204" s="4">
        <v>75.15</v>
      </c>
      <c r="I204" s="4">
        <v>28.1</v>
      </c>
      <c r="J204" s="4">
        <v>93.21</v>
      </c>
      <c r="K204" s="4">
        <f t="shared" si="15"/>
        <v>1803.6</v>
      </c>
      <c r="L204" s="4">
        <f t="shared" si="16"/>
        <v>674.4</v>
      </c>
      <c r="M204" s="4">
        <f t="shared" si="17"/>
        <v>1129.2</v>
      </c>
      <c r="N204" s="4">
        <f t="shared" si="18"/>
        <v>62.6081170991351</v>
      </c>
      <c r="O204" s="4" t="str">
        <f t="shared" si="19"/>
        <v>2024-03</v>
      </c>
    </row>
    <row r="205" spans="1:14">
      <c r="A205" s="29"/>
      <c r="G205" s="12"/>
      <c r="K205" s="12"/>
      <c r="L205" s="12"/>
      <c r="M205" s="12"/>
      <c r="N205" s="12"/>
    </row>
    <row r="207" spans="1:1">
      <c r="A207" s="29"/>
    </row>
    <row r="208" spans="1:1">
      <c r="A208" s="29"/>
    </row>
    <row r="209" spans="1:1">
      <c r="A209" s="29"/>
    </row>
    <row r="210" spans="1:1">
      <c r="A210" s="29"/>
    </row>
    <row r="212" spans="1:1">
      <c r="A212" s="29"/>
    </row>
    <row r="213" spans="1:1">
      <c r="A213" s="29"/>
    </row>
    <row r="214" spans="1:1">
      <c r="A214" s="29"/>
    </row>
    <row r="216" spans="1:1">
      <c r="A216" s="29"/>
    </row>
    <row r="217" spans="1:1">
      <c r="A217" s="29"/>
    </row>
    <row r="218" spans="1:1">
      <c r="A218" s="30"/>
    </row>
    <row r="219" spans="1:1">
      <c r="A219" s="29"/>
    </row>
    <row r="221" spans="1:1">
      <c r="A221" s="29"/>
    </row>
    <row r="222" spans="1:1">
      <c r="A222" s="29"/>
    </row>
    <row r="223" spans="1:1">
      <c r="A223" s="29"/>
    </row>
    <row r="224" spans="1:1">
      <c r="A224" s="29"/>
    </row>
    <row r="225" spans="1:1">
      <c r="A225" s="29"/>
    </row>
    <row r="226" spans="1:1">
      <c r="A226" s="29"/>
    </row>
    <row r="227" spans="1:1">
      <c r="A227" s="29"/>
    </row>
    <row r="228" spans="1:1">
      <c r="A228" s="29"/>
    </row>
    <row r="230" spans="1:1">
      <c r="A230" s="29"/>
    </row>
    <row r="231" spans="1:1">
      <c r="A231" s="29"/>
    </row>
    <row r="232" spans="1:1">
      <c r="A232" s="30"/>
    </row>
    <row r="233" spans="1:1">
      <c r="A233" s="29"/>
    </row>
    <row r="234" spans="1:1">
      <c r="A234" s="29"/>
    </row>
    <row r="235" spans="1:1">
      <c r="A235" s="29"/>
    </row>
    <row r="236" spans="1:1">
      <c r="A236" s="29"/>
    </row>
    <row r="237" spans="1:1">
      <c r="A237" s="29"/>
    </row>
    <row r="238" spans="1:1">
      <c r="A238" s="29"/>
    </row>
    <row r="240" spans="1:1">
      <c r="A240" s="29"/>
    </row>
    <row r="241" spans="1:1">
      <c r="A241" s="29"/>
    </row>
    <row r="242" spans="1:1">
      <c r="A242" s="29"/>
    </row>
    <row r="243" spans="1:1">
      <c r="A243" s="30"/>
    </row>
    <row r="244" spans="1:1">
      <c r="A244" s="2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"/>
  <sheetViews>
    <sheetView zoomScale="80" zoomScaleNormal="80" topLeftCell="A45" workbookViewId="0">
      <selection activeCell="B79" sqref="B79"/>
    </sheetView>
  </sheetViews>
  <sheetFormatPr defaultColWidth="9" defaultRowHeight="16.8" outlineLevelCol="4"/>
  <cols>
    <col min="1" max="1" width="51.171875" customWidth="1"/>
    <col min="2" max="3" width="12.6875"/>
    <col min="4" max="4" width="50.515625" customWidth="1"/>
    <col min="5" max="5" width="13.0078125" customWidth="1"/>
  </cols>
  <sheetData>
    <row r="1" spans="1:2">
      <c r="A1" s="15" t="s">
        <v>79</v>
      </c>
      <c r="B1" s="12">
        <f>SUM(Data_Cleaned!K2:K204)</f>
        <v>162332.97</v>
      </c>
    </row>
    <row r="2" spans="1:2">
      <c r="A2" s="16" t="s">
        <v>80</v>
      </c>
      <c r="B2" s="12">
        <f>SUM(Data_Cleaned!G2:G204)</f>
        <v>2565</v>
      </c>
    </row>
    <row r="3" spans="1:2">
      <c r="A3" s="7" t="s">
        <v>81</v>
      </c>
      <c r="B3" s="12">
        <f>SUM(Data_Cleaned!L2:L204)</f>
        <v>83527.21</v>
      </c>
    </row>
    <row r="4" spans="1:2">
      <c r="A4" s="10" t="s">
        <v>82</v>
      </c>
      <c r="B4" s="12">
        <f>SUM(Data_Cleaned!M2:M204)</f>
        <v>78805.76</v>
      </c>
    </row>
    <row r="5" spans="1:2">
      <c r="A5" s="17" t="s">
        <v>83</v>
      </c>
      <c r="B5">
        <f>B4/B2</f>
        <v>30.7234931773879</v>
      </c>
    </row>
    <row r="6" spans="1:2">
      <c r="A6" s="18" t="s">
        <v>84</v>
      </c>
      <c r="B6" s="12">
        <f>B4/B1*100</f>
        <v>48.545751365234</v>
      </c>
    </row>
    <row r="18" spans="1:1">
      <c r="A18" s="19" t="s">
        <v>85</v>
      </c>
    </row>
    <row r="19" spans="1:1">
      <c r="A19" s="6"/>
    </row>
    <row r="20" spans="1:2">
      <c r="A20" t="s">
        <v>86</v>
      </c>
      <c r="B20">
        <f>SUMIFS(Data_Cleaned!$K$2:$K$204,Data_Cleaned!$F$2:$F$204,"North")</f>
        <v>43318.38</v>
      </c>
    </row>
    <row r="21" spans="1:2">
      <c r="A21" t="s">
        <v>87</v>
      </c>
      <c r="B21">
        <f>SUMIFS(Data_Cleaned!$K$2:$K$204,Data_Cleaned!$F$2:$F$204,"South")</f>
        <v>39250.72</v>
      </c>
    </row>
    <row r="22" spans="1:2">
      <c r="A22" t="s">
        <v>88</v>
      </c>
      <c r="B22">
        <f>SUMIFS(Data_Cleaned!$K$2:$K$204,Data_Cleaned!$F$2:$F$204,"East")</f>
        <v>36630.73</v>
      </c>
    </row>
    <row r="23" spans="1:2">
      <c r="A23" t="s">
        <v>89</v>
      </c>
      <c r="B23">
        <f>SUMIFS(Data_Cleaned!$K$2:$K$204,Data_Cleaned!$F$2:$F$204,"West")</f>
        <v>43133.14</v>
      </c>
    </row>
    <row r="24" spans="1:2">
      <c r="A24" t="s">
        <v>90</v>
      </c>
      <c r="B24" s="12">
        <f>SUM(B20:B23)</f>
        <v>162332.97</v>
      </c>
    </row>
    <row r="47" spans="1:1">
      <c r="A47" s="20" t="s">
        <v>91</v>
      </c>
    </row>
    <row r="48" spans="1:1">
      <c r="A48" s="6"/>
    </row>
    <row r="49" spans="1:4">
      <c r="A49" s="7" t="s">
        <v>92</v>
      </c>
      <c r="B49" s="8" t="s">
        <v>74</v>
      </c>
      <c r="C49" s="9" t="s">
        <v>93</v>
      </c>
      <c r="D49" s="10" t="s">
        <v>94</v>
      </c>
    </row>
    <row r="50" spans="1:4">
      <c r="A50" t="s">
        <v>95</v>
      </c>
      <c r="B50">
        <f>SUMIFS(Data_Cleaned!$K$2:$K$204,Data_Cleaned!$O$2:$O$204,"2024-01")</f>
        <v>13656.94</v>
      </c>
      <c r="C50">
        <f>SUMIFS(Data_Cleaned!G2:$G$204,Data_Cleaned!$O$2:$O$204,"2024-01")</f>
        <v>214</v>
      </c>
      <c r="D50">
        <f>SUMIFS(Data_Cleaned!$M$2:$M$204,Data_Cleaned!$O$2:$O$204,"2024-01")</f>
        <v>7527.8</v>
      </c>
    </row>
    <row r="51" spans="1:4">
      <c r="A51" t="s">
        <v>96</v>
      </c>
      <c r="B51">
        <f>SUMIFS(Data_Cleaned!$K$2:$K$204,Data_Cleaned!$O$2:$O$204,"2024-02")</f>
        <v>21072.4</v>
      </c>
      <c r="C51">
        <f>SUMIFS(Data_Cleaned!G2:$G$204,Data_Cleaned!$O$2:$O$204,"2024-02")</f>
        <v>237</v>
      </c>
      <c r="D51">
        <f>SUMIFS(Data_Cleaned!$M$2:$M$204,Data_Cleaned!$O$2:$O$204,"2024-02")</f>
        <v>9935.86</v>
      </c>
    </row>
    <row r="52" spans="1:4">
      <c r="A52" t="s">
        <v>97</v>
      </c>
      <c r="B52">
        <f>SUMIFS(Data_Cleaned!$K$2:$K$204,Data_Cleaned!$O$2:$O$204,"2024-03")</f>
        <v>14263.05</v>
      </c>
      <c r="C52">
        <f>SUMIFS(Data_Cleaned!G2:$G$204,Data_Cleaned!$O$2:$O$204,"2024-03")</f>
        <v>247</v>
      </c>
      <c r="D52">
        <f>SUMIFS(Data_Cleaned!$M$2:$M$204,Data_Cleaned!$O$2:$O$204,"2024-03")</f>
        <v>6823.05</v>
      </c>
    </row>
    <row r="53" spans="1:4">
      <c r="A53" t="s">
        <v>98</v>
      </c>
      <c r="B53">
        <f>SUMIFS(Data_Cleaned!$K$2:$K$204,Data_Cleaned!$O$2:$O$204,"2024-04")</f>
        <v>6762.45</v>
      </c>
      <c r="C53">
        <f>SUMIFS(Data_Cleaned!G2:$G$204,Data_Cleaned!$O$2:$O$204,"2024-04")</f>
        <v>111</v>
      </c>
      <c r="D53">
        <f>SUMIFS(Data_Cleaned!$M$2:$M$204,Data_Cleaned!$O$2:$O$204,"2024-04")</f>
        <v>3124.03</v>
      </c>
    </row>
    <row r="54" spans="1:4">
      <c r="A54" t="s">
        <v>99</v>
      </c>
      <c r="B54">
        <f>SUMIFS(Data_Cleaned!$K$2:$K$204,Data_Cleaned!$O$2:$O$204,"2024-05")</f>
        <v>15367.54</v>
      </c>
      <c r="C54">
        <f>SUMIFS(Data_Cleaned!G2:$G$204,Data_Cleaned!$O$2:$O$204,"2024-05")</f>
        <v>248</v>
      </c>
      <c r="D54">
        <f>SUMIFS(Data_Cleaned!$M$2:$M$204,Data_Cleaned!$O$2:$O$204,"2024-05")</f>
        <v>7822.45</v>
      </c>
    </row>
    <row r="55" spans="1:4">
      <c r="A55" t="s">
        <v>100</v>
      </c>
      <c r="B55">
        <f>SUMIFS(Data_Cleaned!$K$2:$K$204,Data_Cleaned!$O$2:$O$204,"2024-06")</f>
        <v>12866.31</v>
      </c>
      <c r="C55">
        <f>SUMIFS(Data_Cleaned!G2:$G$204,Data_Cleaned!$O$2:$O$204,"2024-06")</f>
        <v>205</v>
      </c>
      <c r="D55">
        <f>SUMIFS(Data_Cleaned!$M$2:$M$204,Data_Cleaned!$O$2:$O$204,"2024-06")</f>
        <v>5970.21</v>
      </c>
    </row>
    <row r="56" spans="1:4">
      <c r="A56" t="s">
        <v>101</v>
      </c>
      <c r="B56">
        <f>SUMIFS(Data_Cleaned!$K$2:$K$204,Data_Cleaned!$O$2:$O$204,"2024-07")</f>
        <v>13237.96</v>
      </c>
      <c r="C56">
        <f>SUMIFS(Data_Cleaned!G2:$G$204,Data_Cleaned!$O$2:$O$204,"2024-07")</f>
        <v>262</v>
      </c>
      <c r="D56">
        <f>SUMIFS(Data_Cleaned!$M$2:$M$204,Data_Cleaned!$O$2:$O$204,"2024-07")</f>
        <v>6285.75</v>
      </c>
    </row>
    <row r="57" spans="1:4">
      <c r="A57" t="s">
        <v>102</v>
      </c>
      <c r="B57">
        <f>SUMIFS(Data_Cleaned!$K$2:$K$204,Data_Cleaned!$O$2:$O$204,"2024-08")</f>
        <v>25642.76</v>
      </c>
      <c r="C57">
        <f>SUMIFS(Data_Cleaned!G2:$G$204,Data_Cleaned!$O$2:$O$204,"2024-08")</f>
        <v>353</v>
      </c>
      <c r="D57">
        <f>SUMIFS(Data_Cleaned!$M$2:$M$204,Data_Cleaned!$O$2:$O$204,"2024-08")</f>
        <v>12151.83</v>
      </c>
    </row>
    <row r="58" spans="1:4">
      <c r="A58" t="s">
        <v>103</v>
      </c>
      <c r="B58">
        <f>SUMIFS(Data_Cleaned!$K$2:$K$204,Data_Cleaned!$O$2:$O$204,"2024-09")</f>
        <v>11124.54</v>
      </c>
      <c r="C58">
        <f>SUMIFS(Data_Cleaned!G2:$G$204,Data_Cleaned!$O$2:$O$204,"2024-09")</f>
        <v>225</v>
      </c>
      <c r="D58">
        <f>SUMIFS(Data_Cleaned!$M$2:$M$204,Data_Cleaned!$O$2:$O$204,"2024-09")</f>
        <v>4941.9</v>
      </c>
    </row>
    <row r="59" spans="1:4">
      <c r="A59" t="s">
        <v>104</v>
      </c>
      <c r="B59">
        <f>SUMIFS(Data_Cleaned!$K$2:$K$204,Data_Cleaned!$O$2:$O$204,"2024-10")</f>
        <v>11941.62</v>
      </c>
      <c r="C59">
        <f>SUMIFS(Data_Cleaned!G2:$G$204,Data_Cleaned!$O$2:$O$204,"2024-10")</f>
        <v>166</v>
      </c>
      <c r="D59">
        <f>SUMIFS(Data_Cleaned!$M$2:$M$204,Data_Cleaned!$O$2:$O$204,"2024-10")</f>
        <v>5850.96</v>
      </c>
    </row>
    <row r="60" spans="1:4">
      <c r="A60" t="s">
        <v>105</v>
      </c>
      <c r="B60">
        <f>SUMIFS(Data_Cleaned!$K$2:$K$204,Data_Cleaned!$O$2:$O$204,"2024-11")</f>
        <v>13166.92</v>
      </c>
      <c r="C60">
        <f>SUMIFS(Data_Cleaned!G2:$G$204,Data_Cleaned!$O$2:$O$204,"2024-11")</f>
        <v>245</v>
      </c>
      <c r="D60">
        <f>SUMIFS(Data_Cleaned!$M$2:$M$204,Data_Cleaned!$O$2:$O$204,"2024-11")</f>
        <v>6556.59</v>
      </c>
    </row>
    <row r="61" spans="1:4">
      <c r="A61" t="s">
        <v>106</v>
      </c>
      <c r="B61">
        <f>SUMIFS(Data_Cleaned!$K$2:$K$204,Data_Cleaned!$O$2:$O$204,"2024-12")</f>
        <v>3230.48</v>
      </c>
      <c r="C61">
        <f>SUMIFS(Data_Cleaned!G2:$G$204,Data_Cleaned!$O$2:$O$204,"2024-12")</f>
        <v>52</v>
      </c>
      <c r="D61">
        <f>SUMIFS(Data_Cleaned!$M$2:$M$204,Data_Cleaned!$O$2:$O$204,"2024-12")</f>
        <v>1815.33</v>
      </c>
    </row>
    <row r="62" spans="1:4">
      <c r="A62" t="s">
        <v>107</v>
      </c>
      <c r="B62" s="12">
        <f>SUM(B50:B61)</f>
        <v>162332.97</v>
      </c>
      <c r="C62" s="12">
        <f>SUM(C50:C61)</f>
        <v>2565</v>
      </c>
      <c r="D62" s="12">
        <f>SUM(D50:D61)</f>
        <v>78805.76</v>
      </c>
    </row>
    <row r="74" spans="1:1">
      <c r="A74" t="s">
        <v>108</v>
      </c>
    </row>
    <row r="75" spans="1:2">
      <c r="A75" t="s">
        <v>109</v>
      </c>
      <c r="B75" t="s">
        <v>110</v>
      </c>
    </row>
    <row r="76" spans="1:2">
      <c r="A76" s="21" t="s">
        <v>10</v>
      </c>
      <c r="B76" s="22">
        <f>SUMIFS(Data_Cleaned!$K$2:$K$204,Data_Cleaned!$E$2:$E$204,"Gadgets")</f>
        <v>42009.9</v>
      </c>
    </row>
    <row r="77" spans="1:5">
      <c r="A77" s="23" t="s">
        <v>21</v>
      </c>
      <c r="B77" s="24">
        <f>SUMIFS(Data_Cleaned!$K$2:$K$204,Data_Cleaned!$E$2:$E$204,"Tools")</f>
        <v>49824.98</v>
      </c>
      <c r="D77" s="13">
        <f>D57/D62</f>
        <v>0.15419976915393</v>
      </c>
      <c r="E77" s="13">
        <f>1-D77</f>
        <v>0.84580023084607</v>
      </c>
    </row>
    <row r="78" spans="1:2">
      <c r="A78" s="21" t="s">
        <v>16</v>
      </c>
      <c r="B78" s="22">
        <f>SUMIFS(Data_Cleaned!$K$2:$K$204,Data_Cleaned!$E$2:$E$204,"widgets")</f>
        <v>29784.7</v>
      </c>
    </row>
    <row r="79" spans="1:2">
      <c r="A79" s="23" t="s">
        <v>23</v>
      </c>
      <c r="B79" s="24">
        <f>SUMIFS(Data_Cleaned!$K$2:$K$204,Data_Cleaned!$E$2:$E$204,"Accessories")</f>
        <v>40713.39</v>
      </c>
    </row>
    <row r="80" spans="1:2">
      <c r="A80" t="s">
        <v>110</v>
      </c>
      <c r="B80">
        <f>SUBTOTAL(109,Table4[Total])</f>
        <v>162332.97</v>
      </c>
    </row>
    <row r="86" spans="1:3">
      <c r="A86" t="s">
        <v>21</v>
      </c>
      <c r="B86" s="13">
        <f>B77/B80</f>
        <v>0.306930748571901</v>
      </c>
      <c r="C86" s="13">
        <f>1-B86</f>
        <v>0.693069251428099</v>
      </c>
    </row>
    <row r="87" spans="2:2">
      <c r="B87" s="25"/>
    </row>
    <row r="89" spans="2:3">
      <c r="B89" s="13">
        <f>B20/B24</f>
        <v>0.266848934015068</v>
      </c>
      <c r="C89" s="13">
        <f>1-B89</f>
        <v>0.733151065984932</v>
      </c>
    </row>
  </sheetData>
  <pageMargins left="0.75" right="0.75" top="1" bottom="1" header="0.5" footer="0.5"/>
  <headerFooter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ySplit="1" topLeftCell="A2" activePane="bottomLeft" state="frozen"/>
      <selection/>
      <selection pane="bottomLeft" activeCell="C2" sqref="C2"/>
    </sheetView>
  </sheetViews>
  <sheetFormatPr defaultColWidth="9" defaultRowHeight="16.8" outlineLevelCol="5"/>
  <cols>
    <col min="1" max="1" width="26.171875" customWidth="1"/>
    <col min="2" max="2" width="22.0078125" customWidth="1"/>
    <col min="6" max="6" width="10.5"/>
  </cols>
  <sheetData>
    <row r="1" spans="1:3">
      <c r="A1" t="s">
        <v>111</v>
      </c>
      <c r="B1" t="s">
        <v>112</v>
      </c>
      <c r="C1" t="s">
        <v>113</v>
      </c>
    </row>
    <row r="2" spans="1:6">
      <c r="A2" t="s">
        <v>114</v>
      </c>
      <c r="B2" s="12" t="s">
        <v>115</v>
      </c>
      <c r="C2" s="13">
        <v>0</v>
      </c>
      <c r="F2" s="13"/>
    </row>
    <row r="3" spans="1:6">
      <c r="A3" t="s">
        <v>116</v>
      </c>
      <c r="B3" t="s">
        <v>117</v>
      </c>
      <c r="C3" s="14">
        <v>0</v>
      </c>
      <c r="F3" s="13"/>
    </row>
    <row r="4" spans="1:6">
      <c r="A4" t="s">
        <v>118</v>
      </c>
      <c r="B4" t="s">
        <v>119</v>
      </c>
      <c r="C4" s="13">
        <v>0</v>
      </c>
      <c r="F4" s="13"/>
    </row>
    <row r="5" spans="1:6">
      <c r="A5" t="s">
        <v>120</v>
      </c>
      <c r="B5" t="s">
        <v>121</v>
      </c>
      <c r="C5">
        <v>12</v>
      </c>
      <c r="F5" s="13"/>
    </row>
    <row r="6" spans="1:6">
      <c r="A6" t="s">
        <v>122</v>
      </c>
      <c r="B6" t="s">
        <v>123</v>
      </c>
      <c r="C6" t="s">
        <v>124</v>
      </c>
      <c r="F6" s="13"/>
    </row>
    <row r="7" spans="6:6">
      <c r="F7" s="13"/>
    </row>
    <row r="8" spans="6:6">
      <c r="F8" s="13"/>
    </row>
    <row r="9" spans="6:6">
      <c r="F9" s="1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G3" sqref="G3"/>
    </sheetView>
  </sheetViews>
  <sheetFormatPr defaultColWidth="9" defaultRowHeight="16.8"/>
  <cols>
    <col min="1" max="1" width="11.71875" customWidth="1"/>
    <col min="2" max="2" width="14.453125" customWidth="1"/>
    <col min="3" max="3" width="15.75" customWidth="1"/>
    <col min="4" max="4" width="12.109375" customWidth="1"/>
    <col min="5" max="5" width="14.5703125" customWidth="1"/>
    <col min="6" max="6" width="14.96875" customWidth="1"/>
    <col min="7" max="7" width="17.96875" customWidth="1"/>
    <col min="8" max="8" width="17.703125" customWidth="1"/>
    <col min="9" max="9" width="15.8828125" customWidth="1"/>
    <col min="10" max="10" width="17.3203125" customWidth="1"/>
    <col min="11" max="11" width="17.578125" customWidth="1"/>
  </cols>
  <sheetData>
    <row r="1" spans="1:11">
      <c r="A1" s="7" t="s">
        <v>92</v>
      </c>
      <c r="B1" s="8" t="s">
        <v>74</v>
      </c>
      <c r="C1" s="9" t="s">
        <v>93</v>
      </c>
      <c r="D1" s="10" t="s">
        <v>94</v>
      </c>
      <c r="E1" t="s">
        <v>125</v>
      </c>
      <c r="F1" t="s">
        <v>126</v>
      </c>
      <c r="G1" s="11" t="s">
        <v>127</v>
      </c>
      <c r="H1" s="11" t="s">
        <v>128</v>
      </c>
      <c r="I1" s="11" t="s">
        <v>129</v>
      </c>
      <c r="J1" s="11" t="s">
        <v>130</v>
      </c>
      <c r="K1" s="11" t="s">
        <v>131</v>
      </c>
    </row>
    <row r="2" spans="1:11">
      <c r="A2" t="s">
        <v>95</v>
      </c>
      <c r="B2">
        <f>SUMIFS(Data_Cleaned!$K$2:$K$204,Data_Cleaned!$O$2:$O$204,"2024-01")</f>
        <v>13656.94</v>
      </c>
      <c r="C2">
        <v>214</v>
      </c>
      <c r="D2">
        <f>SUMIFS(Data_Cleaned!$M$2:$M$204,Data_Cleaned!$O$2:$O$204,"2024-01")</f>
        <v>7527.8</v>
      </c>
      <c r="E2">
        <f>B2/C2</f>
        <v>63.817476635514</v>
      </c>
      <c r="F2">
        <f>(B2-D2)/C2</f>
        <v>28.6408411214953</v>
      </c>
      <c r="G2">
        <f>E2*(1+Assumptions!$C$2)</f>
        <v>63.817476635514</v>
      </c>
      <c r="H2">
        <f>F2*(1+Assumptions!$C$3)</f>
        <v>28.6408411214953</v>
      </c>
      <c r="I2">
        <f>C2*(1+Assumptions!$C$4)</f>
        <v>214</v>
      </c>
      <c r="J2">
        <f>G2*I2</f>
        <v>13656.94</v>
      </c>
      <c r="K2">
        <f>J2-(H2*I2)</f>
        <v>7527.8</v>
      </c>
    </row>
    <row r="3" spans="1:11">
      <c r="A3" t="s">
        <v>96</v>
      </c>
      <c r="B3">
        <f>SUMIFS(Data_Cleaned!$K$2:$K$204,Data_Cleaned!$O$2:$O$204,"2024-02")</f>
        <v>21072.4</v>
      </c>
      <c r="C3">
        <v>237</v>
      </c>
      <c r="D3">
        <f>SUMIFS(Data_Cleaned!$M$2:$M$204,Data_Cleaned!$O$2:$O$204,"2024-02")</f>
        <v>9935.86</v>
      </c>
      <c r="E3">
        <f t="shared" ref="E3:E13" si="0">B3/C3</f>
        <v>88.9130801687764</v>
      </c>
      <c r="F3">
        <f t="shared" ref="F3:F13" si="1">(B3-D3)/C3</f>
        <v>46.9896202531645</v>
      </c>
      <c r="G3">
        <f>E3*(1+Assumptions!$C$2)</f>
        <v>88.9130801687764</v>
      </c>
      <c r="H3">
        <f>F3*(1+Assumptions!$C$3)</f>
        <v>46.9896202531645</v>
      </c>
      <c r="I3">
        <f>C3*(1+Assumptions!$C$4)</f>
        <v>237</v>
      </c>
      <c r="J3">
        <f t="shared" ref="J3:J13" si="2">G3*I3</f>
        <v>21072.4</v>
      </c>
      <c r="K3">
        <f t="shared" ref="K3:K13" si="3">J3-(H3*I3)</f>
        <v>9935.86000000002</v>
      </c>
    </row>
    <row r="4" spans="1:11">
      <c r="A4" t="s">
        <v>97</v>
      </c>
      <c r="B4">
        <f>SUMIFS(Data_Cleaned!$K$2:$K$204,Data_Cleaned!$O$2:$O$204,"2024-03")</f>
        <v>14263.05</v>
      </c>
      <c r="C4">
        <v>247</v>
      </c>
      <c r="D4">
        <f>SUMIFS(Data_Cleaned!$M$2:$M$204,Data_Cleaned!$O$2:$O$204,"2024-03")</f>
        <v>6823.05</v>
      </c>
      <c r="E4">
        <f t="shared" si="0"/>
        <v>57.7451417004049</v>
      </c>
      <c r="F4">
        <f t="shared" si="1"/>
        <v>30.1214574898785</v>
      </c>
      <c r="G4">
        <f>E4*(1+Assumptions!$C$2)</f>
        <v>57.7451417004049</v>
      </c>
      <c r="H4">
        <f>F4*(1+Assumptions!$C$3)</f>
        <v>30.1214574898785</v>
      </c>
      <c r="I4">
        <f>C4*(1+Assumptions!$C$4)</f>
        <v>247</v>
      </c>
      <c r="J4">
        <f t="shared" si="2"/>
        <v>14263.05</v>
      </c>
      <c r="K4">
        <f t="shared" si="3"/>
        <v>6823.05000000002</v>
      </c>
    </row>
    <row r="5" spans="1:11">
      <c r="A5" t="s">
        <v>98</v>
      </c>
      <c r="B5">
        <f>SUMIFS(Data_Cleaned!$K$2:$K$204,Data_Cleaned!$O$2:$O$204,"2024-04")</f>
        <v>6762.45</v>
      </c>
      <c r="C5">
        <v>111</v>
      </c>
      <c r="D5">
        <f>SUMIFS(Data_Cleaned!$M$2:$M$204,Data_Cleaned!$O$2:$O$204,"2024-04")</f>
        <v>3124.03</v>
      </c>
      <c r="E5">
        <f t="shared" si="0"/>
        <v>60.922972972973</v>
      </c>
      <c r="F5">
        <f t="shared" si="1"/>
        <v>32.7785585585586</v>
      </c>
      <c r="G5">
        <f>E5*(1+Assumptions!$C$2)</f>
        <v>60.922972972973</v>
      </c>
      <c r="H5">
        <f>F5*(1+Assumptions!$C$3)</f>
        <v>32.7785585585586</v>
      </c>
      <c r="I5">
        <f>C5*(1+Assumptions!$C$4)</f>
        <v>111</v>
      </c>
      <c r="J5">
        <f t="shared" si="2"/>
        <v>6762.45</v>
      </c>
      <c r="K5">
        <f t="shared" si="3"/>
        <v>3124.03</v>
      </c>
    </row>
    <row r="6" spans="1:11">
      <c r="A6" t="s">
        <v>99</v>
      </c>
      <c r="B6">
        <f>SUMIFS(Data_Cleaned!$K$2:$K$204,Data_Cleaned!$O$2:$O$204,"2024-05")</f>
        <v>15367.54</v>
      </c>
      <c r="C6">
        <v>248</v>
      </c>
      <c r="D6">
        <f>SUMIFS(Data_Cleaned!$M$2:$M$204,Data_Cleaned!$O$2:$O$204,"2024-05")</f>
        <v>7822.45</v>
      </c>
      <c r="E6">
        <f t="shared" si="0"/>
        <v>61.9658870967742</v>
      </c>
      <c r="F6">
        <f t="shared" si="1"/>
        <v>30.42375</v>
      </c>
      <c r="G6">
        <f>E6*(1+Assumptions!$C$2)</f>
        <v>61.9658870967742</v>
      </c>
      <c r="H6">
        <f>F6*(1+Assumptions!$C$3)</f>
        <v>30.42375</v>
      </c>
      <c r="I6">
        <f>C6*(1+Assumptions!$C$4)</f>
        <v>248</v>
      </c>
      <c r="J6">
        <f t="shared" si="2"/>
        <v>15367.54</v>
      </c>
      <c r="K6">
        <f t="shared" si="3"/>
        <v>7822.45</v>
      </c>
    </row>
    <row r="7" spans="1:11">
      <c r="A7" t="s">
        <v>100</v>
      </c>
      <c r="B7">
        <f>SUMIFS(Data_Cleaned!$K$2:$K$204,Data_Cleaned!$O$2:$O$204,"2024-06")</f>
        <v>12866.31</v>
      </c>
      <c r="C7">
        <v>205</v>
      </c>
      <c r="D7">
        <f>SUMIFS(Data_Cleaned!$M$2:$M$204,Data_Cleaned!$O$2:$O$204,"2024-06")</f>
        <v>5970.21</v>
      </c>
      <c r="E7">
        <f t="shared" si="0"/>
        <v>62.7624878048781</v>
      </c>
      <c r="F7">
        <f t="shared" si="1"/>
        <v>33.639512195122</v>
      </c>
      <c r="G7">
        <f>E7*(1+Assumptions!$C$2)</f>
        <v>62.7624878048781</v>
      </c>
      <c r="H7">
        <f>F7*(1+Assumptions!$C$3)</f>
        <v>33.639512195122</v>
      </c>
      <c r="I7">
        <f>C7*(1+Assumptions!$C$4)</f>
        <v>205</v>
      </c>
      <c r="J7">
        <f t="shared" si="2"/>
        <v>12866.31</v>
      </c>
      <c r="K7">
        <f t="shared" si="3"/>
        <v>5970.21</v>
      </c>
    </row>
    <row r="8" spans="1:11">
      <c r="A8" t="s">
        <v>101</v>
      </c>
      <c r="B8">
        <f>SUMIFS(Data_Cleaned!$K$2:$K$204,Data_Cleaned!$O$2:$O$204,"2024-07")</f>
        <v>13237.96</v>
      </c>
      <c r="C8">
        <v>262</v>
      </c>
      <c r="D8">
        <f>SUMIFS(Data_Cleaned!$M$2:$M$204,Data_Cleaned!$O$2:$O$204,"2024-07")</f>
        <v>6285.75</v>
      </c>
      <c r="E8">
        <f t="shared" si="0"/>
        <v>50.5265648854962</v>
      </c>
      <c r="F8">
        <f t="shared" si="1"/>
        <v>26.5351526717557</v>
      </c>
      <c r="G8">
        <f>E8*(1+Assumptions!$C$2)</f>
        <v>50.5265648854962</v>
      </c>
      <c r="H8">
        <f>F8*(1+Assumptions!$C$3)</f>
        <v>26.5351526717557</v>
      </c>
      <c r="I8">
        <f>C8*(1+Assumptions!$C$4)</f>
        <v>262</v>
      </c>
      <c r="J8">
        <f t="shared" si="2"/>
        <v>13237.96</v>
      </c>
      <c r="K8">
        <f t="shared" si="3"/>
        <v>6285.75000000001</v>
      </c>
    </row>
    <row r="9" spans="1:11">
      <c r="A9" t="s">
        <v>102</v>
      </c>
      <c r="B9">
        <f>SUMIFS(Data_Cleaned!$K$2:$K$204,Data_Cleaned!$O$2:$O$204,"2024-08")</f>
        <v>25642.76</v>
      </c>
      <c r="C9">
        <v>353</v>
      </c>
      <c r="D9">
        <f>SUMIFS(Data_Cleaned!$M$2:$M$204,Data_Cleaned!$O$2:$O$204,"2024-08")</f>
        <v>12151.83</v>
      </c>
      <c r="E9">
        <f t="shared" si="0"/>
        <v>72.6423796033994</v>
      </c>
      <c r="F9">
        <f t="shared" si="1"/>
        <v>38.2179320113314</v>
      </c>
      <c r="G9">
        <f>E9*(1+Assumptions!$C$2)</f>
        <v>72.6423796033994</v>
      </c>
      <c r="H9">
        <f>F9*(1+Assumptions!$C$3)</f>
        <v>38.2179320113314</v>
      </c>
      <c r="I9">
        <f>C9*(1+Assumptions!$C$4)</f>
        <v>353</v>
      </c>
      <c r="J9">
        <f t="shared" si="2"/>
        <v>25642.76</v>
      </c>
      <c r="K9">
        <f t="shared" si="3"/>
        <v>12151.83</v>
      </c>
    </row>
    <row r="10" spans="1:11">
      <c r="A10" t="s">
        <v>103</v>
      </c>
      <c r="B10">
        <f>SUMIFS(Data_Cleaned!$K$2:$K$204,Data_Cleaned!$O$2:$O$204,"2024-09")</f>
        <v>11124.54</v>
      </c>
      <c r="C10">
        <v>225</v>
      </c>
      <c r="D10">
        <f>SUMIFS(Data_Cleaned!$M$2:$M$204,Data_Cleaned!$O$2:$O$204,"2024-09")</f>
        <v>4941.9</v>
      </c>
      <c r="E10">
        <f t="shared" si="0"/>
        <v>49.4424</v>
      </c>
      <c r="F10">
        <f t="shared" si="1"/>
        <v>27.4784</v>
      </c>
      <c r="G10">
        <f>E10*(1+Assumptions!$C$2)</f>
        <v>49.4424</v>
      </c>
      <c r="H10">
        <f>F10*(1+Assumptions!$C$3)</f>
        <v>27.4784</v>
      </c>
      <c r="I10">
        <f>C10*(1+Assumptions!$C$4)</f>
        <v>225</v>
      </c>
      <c r="J10">
        <f t="shared" si="2"/>
        <v>11124.54</v>
      </c>
      <c r="K10">
        <f t="shared" si="3"/>
        <v>4941.9</v>
      </c>
    </row>
    <row r="11" spans="1:11">
      <c r="A11" t="s">
        <v>104</v>
      </c>
      <c r="B11">
        <f>SUMIFS(Data_Cleaned!$K$2:$K$204,Data_Cleaned!$O$2:$O$204,"2024-10")</f>
        <v>11941.62</v>
      </c>
      <c r="C11">
        <v>166</v>
      </c>
      <c r="D11">
        <f>SUMIFS(Data_Cleaned!$M$2:$M$204,Data_Cleaned!$O$2:$O$204,"2024-10")</f>
        <v>5850.96</v>
      </c>
      <c r="E11">
        <f t="shared" si="0"/>
        <v>71.9374698795181</v>
      </c>
      <c r="F11">
        <f t="shared" si="1"/>
        <v>36.6907228915663</v>
      </c>
      <c r="G11">
        <f>E11*(1+Assumptions!$C$2)</f>
        <v>71.9374698795181</v>
      </c>
      <c r="H11">
        <f>F11*(1+Assumptions!$C$3)</f>
        <v>36.6907228915663</v>
      </c>
      <c r="I11">
        <f>C11*(1+Assumptions!$C$4)</f>
        <v>166</v>
      </c>
      <c r="J11">
        <f t="shared" si="2"/>
        <v>11941.62</v>
      </c>
      <c r="K11">
        <f t="shared" si="3"/>
        <v>5850.96</v>
      </c>
    </row>
    <row r="12" spans="1:11">
      <c r="A12" t="s">
        <v>105</v>
      </c>
      <c r="B12">
        <f>SUMIFS(Data_Cleaned!$K$2:$K$204,Data_Cleaned!$O$2:$O$204,"2024-11")</f>
        <v>13166.92</v>
      </c>
      <c r="C12">
        <v>245</v>
      </c>
      <c r="D12">
        <f>SUMIFS(Data_Cleaned!$M$2:$M$204,Data_Cleaned!$O$2:$O$204,"2024-11")</f>
        <v>6556.59</v>
      </c>
      <c r="E12">
        <f t="shared" si="0"/>
        <v>53.7425306122449</v>
      </c>
      <c r="F12">
        <f t="shared" si="1"/>
        <v>26.9809387755102</v>
      </c>
      <c r="G12">
        <f>E12*(1+Assumptions!$C$2)</f>
        <v>53.7425306122449</v>
      </c>
      <c r="H12">
        <f>F12*(1+Assumptions!$C$3)</f>
        <v>26.9809387755102</v>
      </c>
      <c r="I12">
        <f>C12*(1+Assumptions!$C$4)</f>
        <v>245</v>
      </c>
      <c r="J12">
        <f t="shared" si="2"/>
        <v>13166.92</v>
      </c>
      <c r="K12">
        <f t="shared" si="3"/>
        <v>6556.59</v>
      </c>
    </row>
    <row r="13" spans="1:11">
      <c r="A13" t="s">
        <v>106</v>
      </c>
      <c r="B13">
        <f>SUMIFS(Data_Cleaned!$K$2:$K$204,Data_Cleaned!$O$2:$O$204,"2024-12")</f>
        <v>3230.48</v>
      </c>
      <c r="C13">
        <v>52</v>
      </c>
      <c r="D13">
        <f>SUMIFS(Data_Cleaned!$M$2:$M$204,Data_Cleaned!$O$2:$O$204,"2024-12")</f>
        <v>1815.33</v>
      </c>
      <c r="E13">
        <f t="shared" si="0"/>
        <v>62.1246153846154</v>
      </c>
      <c r="F13">
        <f t="shared" si="1"/>
        <v>27.2144230769231</v>
      </c>
      <c r="G13">
        <f>E13*(1+Assumptions!$C$2)</f>
        <v>62.1246153846154</v>
      </c>
      <c r="H13">
        <f>F13*(1+Assumptions!$C$3)</f>
        <v>27.2144230769231</v>
      </c>
      <c r="I13">
        <f>C13*(1+Assumptions!$C$4)</f>
        <v>52</v>
      </c>
      <c r="J13">
        <f t="shared" si="2"/>
        <v>3230.48</v>
      </c>
      <c r="K13">
        <f t="shared" si="3"/>
        <v>1815.33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4"/>
  <sheetViews>
    <sheetView workbookViewId="0">
      <selection activeCell="J27" sqref="J27"/>
    </sheetView>
  </sheetViews>
  <sheetFormatPr defaultColWidth="9" defaultRowHeight="16.8" outlineLevelCol="6"/>
  <cols>
    <col min="4" max="4" width="10.546875" customWidth="1"/>
    <col min="5" max="5" width="12.765625" customWidth="1"/>
    <col min="7" max="7" width="10.0234375" customWidth="1"/>
  </cols>
  <sheetData>
    <row r="1" spans="1:7">
      <c r="A1" s="4" t="s">
        <v>4</v>
      </c>
      <c r="B1" s="4" t="s">
        <v>3</v>
      </c>
      <c r="C1" s="4" t="s">
        <v>75</v>
      </c>
      <c r="D1" s="4" t="s">
        <v>74</v>
      </c>
      <c r="E1" t="s">
        <v>76</v>
      </c>
      <c r="F1" t="s">
        <v>5</v>
      </c>
      <c r="G1" t="s">
        <v>78</v>
      </c>
    </row>
    <row r="2" spans="1:7">
      <c r="A2" s="4" t="s">
        <v>11</v>
      </c>
      <c r="B2" s="4" t="s">
        <v>10</v>
      </c>
      <c r="C2" s="4">
        <v>8.03</v>
      </c>
      <c r="D2" s="4">
        <v>15.22</v>
      </c>
      <c r="E2">
        <v>7.19</v>
      </c>
      <c r="F2">
        <v>1</v>
      </c>
      <c r="G2" t="s">
        <v>105</v>
      </c>
    </row>
    <row r="3" spans="1:7">
      <c r="A3" s="4" t="s">
        <v>14</v>
      </c>
      <c r="B3" s="4" t="s">
        <v>21</v>
      </c>
      <c r="C3" s="4">
        <v>270.4</v>
      </c>
      <c r="D3" s="4">
        <v>420.1</v>
      </c>
      <c r="E3">
        <v>149.7</v>
      </c>
      <c r="F3">
        <v>10</v>
      </c>
      <c r="G3" t="s">
        <v>105</v>
      </c>
    </row>
    <row r="4" spans="1:7">
      <c r="A4" s="4" t="s">
        <v>17</v>
      </c>
      <c r="B4" s="4" t="s">
        <v>16</v>
      </c>
      <c r="C4" s="4">
        <v>628.74</v>
      </c>
      <c r="D4" s="4">
        <v>914.22</v>
      </c>
      <c r="E4">
        <v>285.48</v>
      </c>
      <c r="F4">
        <v>9</v>
      </c>
      <c r="G4" t="s">
        <v>101</v>
      </c>
    </row>
    <row r="5" spans="1:7">
      <c r="A5" s="4" t="s">
        <v>17</v>
      </c>
      <c r="B5" s="4" t="s">
        <v>10</v>
      </c>
      <c r="C5" s="4">
        <v>195.69</v>
      </c>
      <c r="D5" s="4">
        <v>325.27</v>
      </c>
      <c r="E5">
        <v>129.58</v>
      </c>
      <c r="F5">
        <v>11</v>
      </c>
      <c r="G5" t="s">
        <v>95</v>
      </c>
    </row>
    <row r="6" spans="1:7">
      <c r="A6" s="4" t="s">
        <v>14</v>
      </c>
      <c r="B6" s="4" t="s">
        <v>10</v>
      </c>
      <c r="C6" s="4">
        <v>723.12</v>
      </c>
      <c r="D6" s="4">
        <v>2299.44</v>
      </c>
      <c r="E6">
        <v>1576.32</v>
      </c>
      <c r="F6">
        <v>24</v>
      </c>
      <c r="G6" t="s">
        <v>96</v>
      </c>
    </row>
    <row r="7" spans="1:7">
      <c r="A7" s="4" t="s">
        <v>17</v>
      </c>
      <c r="B7" s="4" t="s">
        <v>21</v>
      </c>
      <c r="C7" s="4">
        <v>64.64</v>
      </c>
      <c r="D7" s="4">
        <v>154.56</v>
      </c>
      <c r="E7">
        <v>89.92</v>
      </c>
      <c r="F7">
        <v>4</v>
      </c>
      <c r="G7" t="s">
        <v>98</v>
      </c>
    </row>
    <row r="8" spans="1:7">
      <c r="A8" s="4" t="s">
        <v>11</v>
      </c>
      <c r="B8" s="4" t="s">
        <v>23</v>
      </c>
      <c r="C8" s="4">
        <v>160.25</v>
      </c>
      <c r="D8" s="4">
        <v>487.7</v>
      </c>
      <c r="E8">
        <v>327.45</v>
      </c>
      <c r="F8">
        <v>5</v>
      </c>
      <c r="G8" t="s">
        <v>101</v>
      </c>
    </row>
    <row r="9" spans="1:7">
      <c r="A9" s="4" t="s">
        <v>25</v>
      </c>
      <c r="B9" s="4" t="s">
        <v>16</v>
      </c>
      <c r="C9" s="4">
        <v>121.3</v>
      </c>
      <c r="D9" s="4">
        <v>240.5</v>
      </c>
      <c r="E9">
        <v>119.2</v>
      </c>
      <c r="F9">
        <v>10</v>
      </c>
      <c r="G9" t="s">
        <v>103</v>
      </c>
    </row>
    <row r="10" spans="1:7">
      <c r="A10" s="4" t="s">
        <v>14</v>
      </c>
      <c r="B10" s="4" t="s">
        <v>16</v>
      </c>
      <c r="C10" s="4">
        <v>505.44</v>
      </c>
      <c r="D10" s="4">
        <v>706.8</v>
      </c>
      <c r="E10">
        <v>201.36</v>
      </c>
      <c r="F10">
        <v>24</v>
      </c>
      <c r="G10" t="s">
        <v>99</v>
      </c>
    </row>
    <row r="11" spans="1:7">
      <c r="A11" s="4" t="s">
        <v>11</v>
      </c>
      <c r="B11" s="4" t="s">
        <v>21</v>
      </c>
      <c r="C11" s="4">
        <v>810.6</v>
      </c>
      <c r="D11" s="4">
        <v>1501.95</v>
      </c>
      <c r="E11">
        <v>691.35</v>
      </c>
      <c r="F11">
        <v>15</v>
      </c>
      <c r="G11" t="s">
        <v>103</v>
      </c>
    </row>
    <row r="12" spans="1:7">
      <c r="A12" s="4" t="s">
        <v>14</v>
      </c>
      <c r="B12" s="4" t="s">
        <v>23</v>
      </c>
      <c r="C12" s="4">
        <v>712.8</v>
      </c>
      <c r="D12" s="4">
        <v>1433.76</v>
      </c>
      <c r="E12">
        <v>720.96</v>
      </c>
      <c r="F12">
        <v>12</v>
      </c>
      <c r="G12" t="s">
        <v>104</v>
      </c>
    </row>
    <row r="13" spans="1:7">
      <c r="A13" s="4" t="s">
        <v>11</v>
      </c>
      <c r="B13" s="4" t="s">
        <v>10</v>
      </c>
      <c r="C13" s="4">
        <v>42.68</v>
      </c>
      <c r="D13" s="4">
        <v>104.84</v>
      </c>
      <c r="E13">
        <v>62.16</v>
      </c>
      <c r="F13">
        <v>1</v>
      </c>
      <c r="G13" t="s">
        <v>98</v>
      </c>
    </row>
    <row r="14" spans="1:7">
      <c r="A14" s="4" t="s">
        <v>17</v>
      </c>
      <c r="B14" s="4" t="s">
        <v>23</v>
      </c>
      <c r="C14" s="4">
        <v>121.02</v>
      </c>
      <c r="D14" s="4">
        <v>249.51</v>
      </c>
      <c r="E14">
        <v>128.49</v>
      </c>
      <c r="F14">
        <v>3</v>
      </c>
      <c r="G14" t="s">
        <v>97</v>
      </c>
    </row>
    <row r="15" spans="1:7">
      <c r="A15" s="4" t="s">
        <v>14</v>
      </c>
      <c r="B15" s="4" t="s">
        <v>21</v>
      </c>
      <c r="C15" s="4">
        <v>193.06</v>
      </c>
      <c r="D15" s="4">
        <v>379.96</v>
      </c>
      <c r="E15">
        <v>186.9</v>
      </c>
      <c r="F15">
        <v>14</v>
      </c>
      <c r="G15" t="s">
        <v>105</v>
      </c>
    </row>
    <row r="16" spans="1:7">
      <c r="A16" s="4" t="s">
        <v>14</v>
      </c>
      <c r="B16" s="4" t="s">
        <v>16</v>
      </c>
      <c r="C16" s="4">
        <v>677.7</v>
      </c>
      <c r="D16" s="4">
        <v>959.85</v>
      </c>
      <c r="E16">
        <v>282.15</v>
      </c>
      <c r="F16">
        <v>15</v>
      </c>
      <c r="G16" t="s">
        <v>101</v>
      </c>
    </row>
    <row r="17" spans="1:7">
      <c r="A17" s="4" t="s">
        <v>17</v>
      </c>
      <c r="B17" s="4" t="s">
        <v>21</v>
      </c>
      <c r="C17" s="4">
        <v>201.69</v>
      </c>
      <c r="D17" s="4">
        <v>319.59</v>
      </c>
      <c r="E17">
        <v>117.9</v>
      </c>
      <c r="F17">
        <v>9</v>
      </c>
      <c r="G17" t="s">
        <v>95</v>
      </c>
    </row>
    <row r="18" spans="1:7">
      <c r="A18" s="4" t="s">
        <v>14</v>
      </c>
      <c r="B18" s="4" t="s">
        <v>10</v>
      </c>
      <c r="C18" s="4">
        <v>60.12</v>
      </c>
      <c r="D18" s="4">
        <v>169.84</v>
      </c>
      <c r="E18">
        <v>109.72</v>
      </c>
      <c r="F18">
        <v>2</v>
      </c>
      <c r="G18" t="s">
        <v>104</v>
      </c>
    </row>
    <row r="19" spans="1:7">
      <c r="A19" s="4" t="s">
        <v>25</v>
      </c>
      <c r="B19" s="4" t="s">
        <v>21</v>
      </c>
      <c r="C19" s="4">
        <v>158.64</v>
      </c>
      <c r="D19" s="4">
        <v>313.56</v>
      </c>
      <c r="E19">
        <v>154.92</v>
      </c>
      <c r="F19">
        <v>12</v>
      </c>
      <c r="G19" t="s">
        <v>95</v>
      </c>
    </row>
    <row r="20" spans="1:7">
      <c r="A20" s="4" t="s">
        <v>14</v>
      </c>
      <c r="B20" s="4" t="s">
        <v>16</v>
      </c>
      <c r="C20" s="4">
        <v>79.36</v>
      </c>
      <c r="D20" s="4">
        <v>213.92</v>
      </c>
      <c r="E20">
        <v>134.56</v>
      </c>
      <c r="F20">
        <v>2</v>
      </c>
      <c r="G20" t="s">
        <v>105</v>
      </c>
    </row>
    <row r="21" spans="1:7">
      <c r="A21" s="4" t="s">
        <v>11</v>
      </c>
      <c r="B21" s="4" t="s">
        <v>16</v>
      </c>
      <c r="C21" s="4">
        <v>102.88</v>
      </c>
      <c r="D21" s="4">
        <v>162.24</v>
      </c>
      <c r="E21">
        <v>59.36</v>
      </c>
      <c r="F21">
        <v>4</v>
      </c>
      <c r="G21" t="s">
        <v>98</v>
      </c>
    </row>
    <row r="22" spans="1:7">
      <c r="A22" s="4" t="s">
        <v>11</v>
      </c>
      <c r="B22" s="4" t="s">
        <v>21</v>
      </c>
      <c r="C22" s="4">
        <v>594.36</v>
      </c>
      <c r="D22" s="4">
        <v>1320.41</v>
      </c>
      <c r="E22">
        <v>726.05</v>
      </c>
      <c r="F22">
        <v>13</v>
      </c>
      <c r="G22" t="s">
        <v>97</v>
      </c>
    </row>
    <row r="23" spans="1:7">
      <c r="A23" s="4" t="s">
        <v>14</v>
      </c>
      <c r="B23" s="4" t="s">
        <v>16</v>
      </c>
      <c r="C23" s="4">
        <v>294.47</v>
      </c>
      <c r="D23" s="4">
        <v>824.01</v>
      </c>
      <c r="E23">
        <v>529.54</v>
      </c>
      <c r="F23">
        <v>11</v>
      </c>
      <c r="G23" t="s">
        <v>95</v>
      </c>
    </row>
    <row r="24" spans="1:7">
      <c r="A24" s="4" t="s">
        <v>17</v>
      </c>
      <c r="B24" s="4" t="s">
        <v>16</v>
      </c>
      <c r="C24" s="4">
        <v>454.71</v>
      </c>
      <c r="D24" s="4">
        <v>659.87</v>
      </c>
      <c r="E24">
        <v>205.16</v>
      </c>
      <c r="F24">
        <v>23</v>
      </c>
      <c r="G24" t="s">
        <v>101</v>
      </c>
    </row>
    <row r="25" spans="1:7">
      <c r="A25" s="4" t="s">
        <v>14</v>
      </c>
      <c r="B25" s="4" t="s">
        <v>23</v>
      </c>
      <c r="C25" s="4">
        <v>696.25</v>
      </c>
      <c r="D25" s="4">
        <v>2193.5</v>
      </c>
      <c r="E25">
        <v>1497.25</v>
      </c>
      <c r="F25">
        <v>25</v>
      </c>
      <c r="G25" t="s">
        <v>102</v>
      </c>
    </row>
    <row r="26" spans="1:7">
      <c r="A26" s="4" t="s">
        <v>17</v>
      </c>
      <c r="B26" s="4" t="s">
        <v>10</v>
      </c>
      <c r="C26" s="4">
        <v>137.06</v>
      </c>
      <c r="D26" s="4">
        <v>232.84</v>
      </c>
      <c r="E26">
        <v>95.78</v>
      </c>
      <c r="F26">
        <v>2</v>
      </c>
      <c r="G26" t="s">
        <v>104</v>
      </c>
    </row>
    <row r="27" spans="1:7">
      <c r="A27" s="4" t="s">
        <v>25</v>
      </c>
      <c r="B27" s="4" t="s">
        <v>21</v>
      </c>
      <c r="C27" s="4">
        <v>494</v>
      </c>
      <c r="D27" s="4">
        <v>1119.67</v>
      </c>
      <c r="E27">
        <v>625.67</v>
      </c>
      <c r="F27">
        <v>19</v>
      </c>
      <c r="G27" t="s">
        <v>101</v>
      </c>
    </row>
    <row r="28" spans="1:7">
      <c r="A28" s="4" t="s">
        <v>14</v>
      </c>
      <c r="B28" s="4" t="s">
        <v>40</v>
      </c>
      <c r="C28" s="4">
        <v>132.9</v>
      </c>
      <c r="D28" s="4">
        <v>228.96</v>
      </c>
      <c r="E28">
        <v>96.06</v>
      </c>
      <c r="F28">
        <v>2</v>
      </c>
      <c r="G28" t="s">
        <v>100</v>
      </c>
    </row>
    <row r="29" spans="1:7">
      <c r="A29" s="4" t="s">
        <v>14</v>
      </c>
      <c r="B29" s="4" t="s">
        <v>23</v>
      </c>
      <c r="C29" s="4">
        <v>589.56</v>
      </c>
      <c r="D29" s="4">
        <v>1021.8</v>
      </c>
      <c r="E29">
        <v>432.24</v>
      </c>
      <c r="F29">
        <v>12</v>
      </c>
      <c r="G29" t="s">
        <v>95</v>
      </c>
    </row>
    <row r="30" spans="1:7">
      <c r="A30" s="4" t="s">
        <v>14</v>
      </c>
      <c r="B30" s="4" t="s">
        <v>21</v>
      </c>
      <c r="C30" s="4">
        <v>1028.75</v>
      </c>
      <c r="D30" s="4">
        <v>2733.25</v>
      </c>
      <c r="E30">
        <v>1704.5</v>
      </c>
      <c r="F30">
        <v>25</v>
      </c>
      <c r="G30" t="s">
        <v>105</v>
      </c>
    </row>
    <row r="31" spans="1:7">
      <c r="A31" s="4" t="s">
        <v>14</v>
      </c>
      <c r="B31" s="4" t="s">
        <v>10</v>
      </c>
      <c r="C31" s="4">
        <v>26.23</v>
      </c>
      <c r="D31" s="4">
        <v>38.44</v>
      </c>
      <c r="E31">
        <v>12.21</v>
      </c>
      <c r="F31">
        <v>1</v>
      </c>
      <c r="G31" t="s">
        <v>105</v>
      </c>
    </row>
    <row r="32" spans="1:7">
      <c r="A32" s="4" t="s">
        <v>11</v>
      </c>
      <c r="B32" s="4" t="s">
        <v>23</v>
      </c>
      <c r="C32" s="4">
        <v>1029.36</v>
      </c>
      <c r="D32" s="4">
        <v>2583.12</v>
      </c>
      <c r="E32">
        <v>1553.76</v>
      </c>
      <c r="F32">
        <v>24</v>
      </c>
      <c r="G32" t="s">
        <v>102</v>
      </c>
    </row>
    <row r="33" spans="1:7">
      <c r="A33" s="4" t="s">
        <v>25</v>
      </c>
      <c r="B33" s="4" t="s">
        <v>16</v>
      </c>
      <c r="C33" s="4">
        <v>576.94</v>
      </c>
      <c r="D33" s="4">
        <v>1094.38</v>
      </c>
      <c r="E33">
        <v>517.44</v>
      </c>
      <c r="F33">
        <v>14</v>
      </c>
      <c r="G33" t="s">
        <v>97</v>
      </c>
    </row>
    <row r="34" spans="1:7">
      <c r="A34" s="4" t="s">
        <v>17</v>
      </c>
      <c r="B34" s="4" t="s">
        <v>10</v>
      </c>
      <c r="C34" s="4">
        <v>193.04</v>
      </c>
      <c r="D34" s="4">
        <v>476.08</v>
      </c>
      <c r="E34">
        <v>283.04</v>
      </c>
      <c r="F34">
        <v>8</v>
      </c>
      <c r="G34" t="s">
        <v>96</v>
      </c>
    </row>
    <row r="35" spans="1:7">
      <c r="A35" s="4" t="s">
        <v>17</v>
      </c>
      <c r="B35" s="4" t="s">
        <v>10</v>
      </c>
      <c r="C35" s="4">
        <v>389.62</v>
      </c>
      <c r="D35" s="4">
        <v>796.6</v>
      </c>
      <c r="E35">
        <v>406.98</v>
      </c>
      <c r="F35">
        <v>14</v>
      </c>
      <c r="G35" t="s">
        <v>95</v>
      </c>
    </row>
    <row r="36" spans="1:7">
      <c r="A36" s="4" t="s">
        <v>17</v>
      </c>
      <c r="B36" s="4" t="s">
        <v>40</v>
      </c>
      <c r="C36" s="4">
        <v>601.64</v>
      </c>
      <c r="D36" s="4">
        <v>911.69</v>
      </c>
      <c r="E36">
        <v>310.05</v>
      </c>
      <c r="F36">
        <v>13</v>
      </c>
      <c r="G36" t="s">
        <v>99</v>
      </c>
    </row>
    <row r="37" spans="1:7">
      <c r="A37" s="4" t="s">
        <v>14</v>
      </c>
      <c r="B37" s="4" t="s">
        <v>23</v>
      </c>
      <c r="C37" s="4">
        <v>140.42</v>
      </c>
      <c r="D37" s="4">
        <v>253.47</v>
      </c>
      <c r="E37">
        <v>113.05</v>
      </c>
      <c r="F37">
        <v>17</v>
      </c>
      <c r="G37" t="s">
        <v>97</v>
      </c>
    </row>
    <row r="38" spans="1:7">
      <c r="A38" s="4" t="s">
        <v>25</v>
      </c>
      <c r="B38" s="4" t="s">
        <v>23</v>
      </c>
      <c r="C38" s="4">
        <v>247.08</v>
      </c>
      <c r="D38" s="4">
        <v>504.6</v>
      </c>
      <c r="E38">
        <v>257.52</v>
      </c>
      <c r="F38">
        <v>12</v>
      </c>
      <c r="G38" t="s">
        <v>104</v>
      </c>
    </row>
    <row r="39" spans="1:7">
      <c r="A39" s="4" t="s">
        <v>11</v>
      </c>
      <c r="B39" s="4" t="s">
        <v>16</v>
      </c>
      <c r="C39" s="4">
        <v>250.86</v>
      </c>
      <c r="D39" s="4">
        <v>615.84</v>
      </c>
      <c r="E39">
        <v>364.98</v>
      </c>
      <c r="F39">
        <v>6</v>
      </c>
      <c r="G39" t="s">
        <v>98</v>
      </c>
    </row>
    <row r="40" spans="1:7">
      <c r="A40" s="4" t="s">
        <v>11</v>
      </c>
      <c r="B40" s="4" t="s">
        <v>10</v>
      </c>
      <c r="C40" s="4">
        <v>181</v>
      </c>
      <c r="D40" s="4">
        <v>580.95</v>
      </c>
      <c r="E40">
        <v>399.95</v>
      </c>
      <c r="F40">
        <v>5</v>
      </c>
      <c r="G40" t="s">
        <v>101</v>
      </c>
    </row>
    <row r="41" spans="1:7">
      <c r="A41" s="4" t="s">
        <v>11</v>
      </c>
      <c r="B41" s="4" t="s">
        <v>10</v>
      </c>
      <c r="C41" s="4">
        <v>856.08</v>
      </c>
      <c r="D41" s="4">
        <v>1737.36</v>
      </c>
      <c r="E41">
        <v>881.28</v>
      </c>
      <c r="F41">
        <v>18</v>
      </c>
      <c r="G41" t="s">
        <v>100</v>
      </c>
    </row>
    <row r="42" spans="1:7">
      <c r="A42" s="4" t="s">
        <v>17</v>
      </c>
      <c r="B42" s="4" t="s">
        <v>16</v>
      </c>
      <c r="C42" s="4">
        <v>239.07</v>
      </c>
      <c r="D42" s="4">
        <v>403.26</v>
      </c>
      <c r="E42">
        <v>164.19</v>
      </c>
      <c r="F42">
        <v>13</v>
      </c>
      <c r="G42" t="s">
        <v>103</v>
      </c>
    </row>
    <row r="43" spans="1:7">
      <c r="A43" s="4" t="s">
        <v>11</v>
      </c>
      <c r="B43" s="4" t="s">
        <v>21</v>
      </c>
      <c r="C43" s="4">
        <v>308.42</v>
      </c>
      <c r="D43" s="4">
        <v>536.76</v>
      </c>
      <c r="E43">
        <v>228.34</v>
      </c>
      <c r="F43">
        <v>14</v>
      </c>
      <c r="G43" t="s">
        <v>100</v>
      </c>
    </row>
    <row r="44" spans="1:7">
      <c r="A44" s="4" t="s">
        <v>25</v>
      </c>
      <c r="B44" s="4" t="s">
        <v>21</v>
      </c>
      <c r="C44" s="4">
        <v>1142.08</v>
      </c>
      <c r="D44" s="4">
        <v>1830.24</v>
      </c>
      <c r="E44">
        <v>688.16</v>
      </c>
      <c r="F44">
        <v>16</v>
      </c>
      <c r="G44" t="s">
        <v>102</v>
      </c>
    </row>
    <row r="45" spans="1:7">
      <c r="A45" s="4" t="s">
        <v>14</v>
      </c>
      <c r="B45" s="4" t="s">
        <v>16</v>
      </c>
      <c r="C45" s="4">
        <v>424.44</v>
      </c>
      <c r="D45" s="4">
        <v>933.3</v>
      </c>
      <c r="E45">
        <v>508.86</v>
      </c>
      <c r="F45">
        <v>18</v>
      </c>
      <c r="G45" t="s">
        <v>100</v>
      </c>
    </row>
    <row r="46" spans="1:7">
      <c r="A46" s="4" t="s">
        <v>11</v>
      </c>
      <c r="B46" s="4" t="s">
        <v>10</v>
      </c>
      <c r="C46" s="4">
        <v>1313.52</v>
      </c>
      <c r="D46" s="4">
        <v>2076.96</v>
      </c>
      <c r="E46">
        <v>763.44</v>
      </c>
      <c r="F46">
        <v>24</v>
      </c>
      <c r="G46" t="s">
        <v>103</v>
      </c>
    </row>
    <row r="47" spans="1:7">
      <c r="A47" s="4" t="s">
        <v>25</v>
      </c>
      <c r="B47" s="4" t="s">
        <v>10</v>
      </c>
      <c r="C47" s="4">
        <v>141.61</v>
      </c>
      <c r="D47" s="4">
        <v>436.39</v>
      </c>
      <c r="E47">
        <v>294.78</v>
      </c>
      <c r="F47">
        <v>17</v>
      </c>
      <c r="G47" t="s">
        <v>105</v>
      </c>
    </row>
    <row r="48" spans="1:7">
      <c r="A48" s="4" t="s">
        <v>17</v>
      </c>
      <c r="B48" s="4" t="s">
        <v>16</v>
      </c>
      <c r="C48" s="4">
        <v>13.8</v>
      </c>
      <c r="D48" s="4">
        <v>39.27</v>
      </c>
      <c r="E48">
        <v>25.47</v>
      </c>
      <c r="F48">
        <v>1</v>
      </c>
      <c r="G48" t="s">
        <v>104</v>
      </c>
    </row>
    <row r="49" spans="1:7">
      <c r="A49" s="4" t="s">
        <v>17</v>
      </c>
      <c r="B49" s="4" t="s">
        <v>21</v>
      </c>
      <c r="C49" s="4">
        <v>928</v>
      </c>
      <c r="D49" s="4">
        <v>1969.75</v>
      </c>
      <c r="E49">
        <v>1041.75</v>
      </c>
      <c r="F49">
        <v>25</v>
      </c>
      <c r="G49" t="s">
        <v>104</v>
      </c>
    </row>
    <row r="50" spans="1:7">
      <c r="A50" s="4" t="s">
        <v>14</v>
      </c>
      <c r="B50" s="4" t="s">
        <v>16</v>
      </c>
      <c r="C50" s="4">
        <v>252.16</v>
      </c>
      <c r="D50" s="4">
        <v>666.64</v>
      </c>
      <c r="E50">
        <v>414.48</v>
      </c>
      <c r="F50">
        <v>8</v>
      </c>
      <c r="G50" t="s">
        <v>102</v>
      </c>
    </row>
    <row r="51" spans="1:7">
      <c r="A51" s="4" t="s">
        <v>17</v>
      </c>
      <c r="B51" s="4" t="s">
        <v>10</v>
      </c>
      <c r="C51" s="4">
        <v>454.86</v>
      </c>
      <c r="D51" s="4">
        <v>782.46</v>
      </c>
      <c r="E51">
        <v>327.6</v>
      </c>
      <c r="F51">
        <v>7</v>
      </c>
      <c r="G51" t="s">
        <v>102</v>
      </c>
    </row>
    <row r="52" spans="1:7">
      <c r="A52" s="4" t="s">
        <v>14</v>
      </c>
      <c r="B52" s="4" t="s">
        <v>21</v>
      </c>
      <c r="C52" s="4">
        <v>758.67</v>
      </c>
      <c r="D52" s="4">
        <v>1764.91</v>
      </c>
      <c r="E52">
        <v>1006.24</v>
      </c>
      <c r="F52">
        <v>19</v>
      </c>
      <c r="G52" t="s">
        <v>101</v>
      </c>
    </row>
    <row r="53" spans="1:7">
      <c r="A53" s="4" t="s">
        <v>17</v>
      </c>
      <c r="B53" s="4" t="s">
        <v>23</v>
      </c>
      <c r="C53" s="4">
        <v>543.59</v>
      </c>
      <c r="D53" s="4">
        <v>741.76</v>
      </c>
      <c r="E53">
        <v>198.17</v>
      </c>
      <c r="F53">
        <v>19</v>
      </c>
      <c r="G53" t="s">
        <v>101</v>
      </c>
    </row>
    <row r="54" spans="1:7">
      <c r="A54" s="4" t="s">
        <v>17</v>
      </c>
      <c r="B54" s="4" t="s">
        <v>16</v>
      </c>
      <c r="C54" s="4">
        <v>398.75</v>
      </c>
      <c r="D54" s="4">
        <v>598.35</v>
      </c>
      <c r="E54">
        <v>199.6</v>
      </c>
      <c r="F54">
        <v>5</v>
      </c>
      <c r="G54" t="s">
        <v>102</v>
      </c>
    </row>
    <row r="55" spans="1:7">
      <c r="A55" s="4" t="s">
        <v>25</v>
      </c>
      <c r="B55" s="4" t="s">
        <v>10</v>
      </c>
      <c r="C55" s="4">
        <v>604.8</v>
      </c>
      <c r="D55" s="4">
        <v>1198.44</v>
      </c>
      <c r="E55">
        <v>593.64</v>
      </c>
      <c r="F55">
        <v>12</v>
      </c>
      <c r="G55" t="s">
        <v>97</v>
      </c>
    </row>
    <row r="56" spans="1:7">
      <c r="A56" s="4" t="s">
        <v>25</v>
      </c>
      <c r="B56" s="4" t="s">
        <v>23</v>
      </c>
      <c r="C56" s="4">
        <v>467.25</v>
      </c>
      <c r="D56" s="4">
        <v>1193.1</v>
      </c>
      <c r="E56">
        <v>725.85</v>
      </c>
      <c r="F56">
        <v>15</v>
      </c>
      <c r="G56" t="s">
        <v>96</v>
      </c>
    </row>
    <row r="57" spans="1:7">
      <c r="A57" s="4" t="s">
        <v>11</v>
      </c>
      <c r="B57" s="4" t="s">
        <v>10</v>
      </c>
      <c r="C57" s="4">
        <v>25.46</v>
      </c>
      <c r="D57" s="4">
        <v>72.54</v>
      </c>
      <c r="E57">
        <v>47.08</v>
      </c>
      <c r="F57">
        <v>2</v>
      </c>
      <c r="G57" t="s">
        <v>101</v>
      </c>
    </row>
    <row r="58" spans="1:7">
      <c r="A58" s="4" t="s">
        <v>17</v>
      </c>
      <c r="B58" s="4" t="s">
        <v>21</v>
      </c>
      <c r="C58" s="4">
        <v>267.58</v>
      </c>
      <c r="D58" s="4">
        <v>469.54</v>
      </c>
      <c r="E58">
        <v>201.96</v>
      </c>
      <c r="F58">
        <v>17</v>
      </c>
      <c r="G58" t="s">
        <v>97</v>
      </c>
    </row>
    <row r="59" spans="1:7">
      <c r="A59" s="4" t="s">
        <v>11</v>
      </c>
      <c r="B59" s="4" t="s">
        <v>21</v>
      </c>
      <c r="C59" s="4">
        <v>550.44</v>
      </c>
      <c r="D59" s="4">
        <v>922.05</v>
      </c>
      <c r="E59">
        <v>371.61</v>
      </c>
      <c r="F59">
        <v>9</v>
      </c>
      <c r="G59" t="s">
        <v>104</v>
      </c>
    </row>
    <row r="60" spans="1:7">
      <c r="A60" s="4" t="s">
        <v>14</v>
      </c>
      <c r="B60" s="4" t="s">
        <v>23</v>
      </c>
      <c r="C60" s="4">
        <v>335.02</v>
      </c>
      <c r="D60" s="4">
        <v>516.25</v>
      </c>
      <c r="E60">
        <v>181.23</v>
      </c>
      <c r="F60">
        <v>7</v>
      </c>
      <c r="G60" t="s">
        <v>103</v>
      </c>
    </row>
    <row r="61" spans="1:7">
      <c r="A61" s="4" t="s">
        <v>25</v>
      </c>
      <c r="B61" s="4" t="s">
        <v>10</v>
      </c>
      <c r="C61" s="4">
        <v>97.86</v>
      </c>
      <c r="D61" s="4">
        <v>318.78</v>
      </c>
      <c r="E61">
        <v>220.92</v>
      </c>
      <c r="F61">
        <v>14</v>
      </c>
      <c r="G61" t="s">
        <v>101</v>
      </c>
    </row>
    <row r="62" spans="1:7">
      <c r="A62" s="4" t="s">
        <v>11</v>
      </c>
      <c r="B62" s="4" t="s">
        <v>21</v>
      </c>
      <c r="C62" s="4">
        <v>973.98</v>
      </c>
      <c r="D62" s="4">
        <v>2201.01</v>
      </c>
      <c r="E62">
        <v>1227.03</v>
      </c>
      <c r="F62">
        <v>21</v>
      </c>
      <c r="G62" t="s">
        <v>106</v>
      </c>
    </row>
    <row r="63" spans="1:7">
      <c r="A63" s="4" t="s">
        <v>17</v>
      </c>
      <c r="B63" s="4" t="s">
        <v>21</v>
      </c>
      <c r="C63" s="4">
        <v>964.56</v>
      </c>
      <c r="D63" s="4">
        <v>1930.56</v>
      </c>
      <c r="E63">
        <v>966</v>
      </c>
      <c r="F63">
        <v>24</v>
      </c>
      <c r="G63" t="s">
        <v>101</v>
      </c>
    </row>
    <row r="64" spans="1:7">
      <c r="A64" s="4" t="s">
        <v>17</v>
      </c>
      <c r="B64" s="4" t="s">
        <v>21</v>
      </c>
      <c r="C64" s="4">
        <v>451.5</v>
      </c>
      <c r="D64" s="4">
        <v>786.25</v>
      </c>
      <c r="E64">
        <v>334.75</v>
      </c>
      <c r="F64">
        <v>25</v>
      </c>
      <c r="G64" t="s">
        <v>101</v>
      </c>
    </row>
    <row r="65" spans="1:7">
      <c r="A65" s="4" t="s">
        <v>17</v>
      </c>
      <c r="B65" s="4" t="s">
        <v>21</v>
      </c>
      <c r="C65" s="4">
        <v>1081.92</v>
      </c>
      <c r="D65" s="4">
        <v>1491.63</v>
      </c>
      <c r="E65">
        <v>409.71</v>
      </c>
      <c r="F65">
        <v>21</v>
      </c>
      <c r="G65" t="s">
        <v>100</v>
      </c>
    </row>
    <row r="66" spans="1:7">
      <c r="A66" s="4" t="s">
        <v>11</v>
      </c>
      <c r="B66" s="4" t="s">
        <v>10</v>
      </c>
      <c r="C66" s="4">
        <v>561.78</v>
      </c>
      <c r="D66" s="4">
        <v>913.86</v>
      </c>
      <c r="E66">
        <v>352.08</v>
      </c>
      <c r="F66">
        <v>18</v>
      </c>
      <c r="G66" t="s">
        <v>99</v>
      </c>
    </row>
    <row r="67" spans="1:7">
      <c r="A67" s="4" t="s">
        <v>25</v>
      </c>
      <c r="B67" s="4" t="s">
        <v>16</v>
      </c>
      <c r="C67" s="4">
        <v>318.43</v>
      </c>
      <c r="D67" s="4">
        <v>542.92</v>
      </c>
      <c r="E67">
        <v>224.49</v>
      </c>
      <c r="F67">
        <v>7</v>
      </c>
      <c r="G67" t="s">
        <v>97</v>
      </c>
    </row>
    <row r="68" spans="1:7">
      <c r="A68" s="4" t="s">
        <v>25</v>
      </c>
      <c r="B68" s="4" t="s">
        <v>16</v>
      </c>
      <c r="C68" s="4">
        <v>107.36</v>
      </c>
      <c r="D68" s="4">
        <v>220.48</v>
      </c>
      <c r="E68">
        <v>113.12</v>
      </c>
      <c r="F68">
        <v>2</v>
      </c>
      <c r="G68" t="s">
        <v>98</v>
      </c>
    </row>
    <row r="69" spans="1:7">
      <c r="A69" s="4" t="s">
        <v>17</v>
      </c>
      <c r="B69" s="4" t="s">
        <v>10</v>
      </c>
      <c r="C69" s="4">
        <v>293.31</v>
      </c>
      <c r="D69" s="4">
        <v>833.67</v>
      </c>
      <c r="E69">
        <v>540.36</v>
      </c>
      <c r="F69">
        <v>9</v>
      </c>
      <c r="G69" t="s">
        <v>102</v>
      </c>
    </row>
    <row r="70" spans="1:7">
      <c r="A70" s="4" t="s">
        <v>25</v>
      </c>
      <c r="B70" s="4" t="s">
        <v>21</v>
      </c>
      <c r="C70" s="4">
        <v>303.24</v>
      </c>
      <c r="D70" s="4">
        <v>725.34</v>
      </c>
      <c r="E70">
        <v>422.1</v>
      </c>
      <c r="F70">
        <v>14</v>
      </c>
      <c r="G70" t="s">
        <v>100</v>
      </c>
    </row>
    <row r="71" spans="1:7">
      <c r="A71" s="4" t="s">
        <v>11</v>
      </c>
      <c r="B71" s="4" t="s">
        <v>21</v>
      </c>
      <c r="C71" s="4">
        <v>746.34</v>
      </c>
      <c r="D71" s="4">
        <v>1542.94</v>
      </c>
      <c r="E71">
        <v>796.6</v>
      </c>
      <c r="F71">
        <v>14</v>
      </c>
      <c r="G71" t="s">
        <v>104</v>
      </c>
    </row>
    <row r="72" spans="1:7">
      <c r="A72" s="4" t="s">
        <v>17</v>
      </c>
      <c r="B72" s="4" t="s">
        <v>10</v>
      </c>
      <c r="C72" s="4">
        <v>227.47</v>
      </c>
      <c r="D72" s="4">
        <v>659.87</v>
      </c>
      <c r="E72">
        <v>432.4</v>
      </c>
      <c r="F72">
        <v>23</v>
      </c>
      <c r="G72" t="s">
        <v>102</v>
      </c>
    </row>
    <row r="73" spans="1:7">
      <c r="A73" s="4" t="s">
        <v>11</v>
      </c>
      <c r="B73" s="4" t="s">
        <v>23</v>
      </c>
      <c r="C73" s="4">
        <v>359.37</v>
      </c>
      <c r="D73" s="4">
        <v>778.8</v>
      </c>
      <c r="E73">
        <v>419.43</v>
      </c>
      <c r="F73">
        <v>11</v>
      </c>
      <c r="G73" t="s">
        <v>102</v>
      </c>
    </row>
    <row r="74" spans="1:7">
      <c r="A74" s="4" t="s">
        <v>11</v>
      </c>
      <c r="B74" s="4" t="s">
        <v>10</v>
      </c>
      <c r="C74" s="4">
        <v>212.3</v>
      </c>
      <c r="D74" s="4">
        <v>383.1</v>
      </c>
      <c r="E74">
        <v>170.8</v>
      </c>
      <c r="F74">
        <v>10</v>
      </c>
      <c r="G74" t="s">
        <v>104</v>
      </c>
    </row>
    <row r="75" spans="1:7">
      <c r="A75" s="4" t="s">
        <v>11</v>
      </c>
      <c r="B75" s="4" t="s">
        <v>21</v>
      </c>
      <c r="C75" s="4">
        <v>312.92</v>
      </c>
      <c r="D75" s="4">
        <v>474.6</v>
      </c>
      <c r="E75">
        <v>161.68</v>
      </c>
      <c r="F75">
        <v>4</v>
      </c>
      <c r="G75" t="s">
        <v>104</v>
      </c>
    </row>
    <row r="76" spans="1:7">
      <c r="A76" s="4" t="s">
        <v>14</v>
      </c>
      <c r="B76" s="4" t="s">
        <v>48</v>
      </c>
      <c r="C76" s="4">
        <v>194.88</v>
      </c>
      <c r="D76" s="4">
        <v>388.32</v>
      </c>
      <c r="E76">
        <v>193.44</v>
      </c>
      <c r="F76">
        <v>16</v>
      </c>
      <c r="G76" t="s">
        <v>95</v>
      </c>
    </row>
    <row r="77" spans="1:7">
      <c r="A77" s="4" t="s">
        <v>11</v>
      </c>
      <c r="B77" s="4" t="s">
        <v>21</v>
      </c>
      <c r="C77" s="4">
        <v>432.24</v>
      </c>
      <c r="D77" s="4">
        <v>696.48</v>
      </c>
      <c r="E77">
        <v>264.24</v>
      </c>
      <c r="F77">
        <v>12</v>
      </c>
      <c r="G77" t="s">
        <v>104</v>
      </c>
    </row>
    <row r="78" spans="1:7">
      <c r="A78" s="4" t="s">
        <v>25</v>
      </c>
      <c r="B78" s="4" t="s">
        <v>21</v>
      </c>
      <c r="C78" s="4">
        <v>390.45</v>
      </c>
      <c r="D78" s="4">
        <v>1110.74</v>
      </c>
      <c r="E78">
        <v>720.29</v>
      </c>
      <c r="F78">
        <v>19</v>
      </c>
      <c r="G78" t="s">
        <v>102</v>
      </c>
    </row>
    <row r="79" spans="1:7">
      <c r="A79" s="4" t="s">
        <v>17</v>
      </c>
      <c r="B79" s="4" t="s">
        <v>10</v>
      </c>
      <c r="C79" s="4">
        <v>56.94</v>
      </c>
      <c r="D79" s="4">
        <v>137.28</v>
      </c>
      <c r="E79">
        <v>80.34</v>
      </c>
      <c r="F79">
        <v>3</v>
      </c>
      <c r="G79" t="s">
        <v>104</v>
      </c>
    </row>
    <row r="80" spans="1:7">
      <c r="A80" s="4" t="s">
        <v>14</v>
      </c>
      <c r="B80" s="4" t="s">
        <v>23</v>
      </c>
      <c r="C80" s="4">
        <v>1248.66</v>
      </c>
      <c r="D80" s="4">
        <v>2075.76</v>
      </c>
      <c r="E80">
        <v>827.1</v>
      </c>
      <c r="F80">
        <v>18</v>
      </c>
      <c r="G80" t="s">
        <v>102</v>
      </c>
    </row>
    <row r="81" spans="1:7">
      <c r="A81" s="4" t="s">
        <v>14</v>
      </c>
      <c r="B81" s="4" t="s">
        <v>21</v>
      </c>
      <c r="C81" s="4">
        <v>369.6</v>
      </c>
      <c r="D81" s="4">
        <v>543.3</v>
      </c>
      <c r="E81">
        <v>173.7</v>
      </c>
      <c r="F81">
        <v>15</v>
      </c>
      <c r="G81" t="s">
        <v>105</v>
      </c>
    </row>
    <row r="82" spans="1:7">
      <c r="A82" s="4" t="s">
        <v>25</v>
      </c>
      <c r="B82" s="4" t="s">
        <v>16</v>
      </c>
      <c r="C82" s="4">
        <v>318.48</v>
      </c>
      <c r="D82" s="4">
        <v>703.12</v>
      </c>
      <c r="E82">
        <v>384.64</v>
      </c>
      <c r="F82">
        <v>8</v>
      </c>
      <c r="G82" t="s">
        <v>95</v>
      </c>
    </row>
    <row r="83" spans="1:7">
      <c r="A83" s="4" t="s">
        <v>17</v>
      </c>
      <c r="B83" s="4" t="s">
        <v>16</v>
      </c>
      <c r="C83" s="4">
        <v>129.3</v>
      </c>
      <c r="D83" s="4">
        <v>290</v>
      </c>
      <c r="E83">
        <v>160.7</v>
      </c>
      <c r="F83">
        <v>10</v>
      </c>
      <c r="G83" t="s">
        <v>105</v>
      </c>
    </row>
    <row r="84" spans="1:7">
      <c r="A84" s="4" t="s">
        <v>17</v>
      </c>
      <c r="B84" s="4" t="s">
        <v>16</v>
      </c>
      <c r="C84" s="4">
        <v>189.54</v>
      </c>
      <c r="D84" s="4">
        <v>539.5</v>
      </c>
      <c r="E84">
        <v>349.96</v>
      </c>
      <c r="F84">
        <v>13</v>
      </c>
      <c r="G84" t="s">
        <v>103</v>
      </c>
    </row>
    <row r="85" spans="1:7">
      <c r="A85" s="4" t="s">
        <v>11</v>
      </c>
      <c r="B85" s="4" t="s">
        <v>10</v>
      </c>
      <c r="C85" s="4">
        <v>244.92</v>
      </c>
      <c r="D85" s="4">
        <v>569.22</v>
      </c>
      <c r="E85">
        <v>324.3</v>
      </c>
      <c r="F85">
        <v>6</v>
      </c>
      <c r="G85" t="s">
        <v>106</v>
      </c>
    </row>
    <row r="86" spans="1:7">
      <c r="A86" s="4" t="s">
        <v>25</v>
      </c>
      <c r="B86" s="4" t="s">
        <v>10</v>
      </c>
      <c r="C86" s="4">
        <v>184</v>
      </c>
      <c r="D86" s="4">
        <v>381.11</v>
      </c>
      <c r="E86">
        <v>197.11</v>
      </c>
      <c r="F86">
        <v>23</v>
      </c>
      <c r="G86" t="s">
        <v>97</v>
      </c>
    </row>
    <row r="87" spans="1:7">
      <c r="A87" s="4" t="s">
        <v>25</v>
      </c>
      <c r="B87" s="4" t="s">
        <v>23</v>
      </c>
      <c r="C87" s="4">
        <v>542.45</v>
      </c>
      <c r="D87" s="4">
        <v>1172.11</v>
      </c>
      <c r="E87">
        <v>629.66</v>
      </c>
      <c r="F87">
        <v>19</v>
      </c>
      <c r="G87" t="s">
        <v>105</v>
      </c>
    </row>
    <row r="88" spans="1:7">
      <c r="A88" s="4" t="s">
        <v>14</v>
      </c>
      <c r="B88" s="4" t="s">
        <v>21</v>
      </c>
      <c r="C88" s="4">
        <v>344</v>
      </c>
      <c r="D88" s="4">
        <v>486.2</v>
      </c>
      <c r="E88">
        <v>142.2</v>
      </c>
      <c r="F88">
        <v>20</v>
      </c>
      <c r="G88" t="s">
        <v>102</v>
      </c>
    </row>
    <row r="89" spans="1:7">
      <c r="A89" s="4" t="s">
        <v>11</v>
      </c>
      <c r="B89" s="4" t="s">
        <v>21</v>
      </c>
      <c r="C89" s="4">
        <v>1060.56</v>
      </c>
      <c r="D89" s="4">
        <v>1915.68</v>
      </c>
      <c r="E89">
        <v>855.12</v>
      </c>
      <c r="F89">
        <v>24</v>
      </c>
      <c r="G89" t="s">
        <v>105</v>
      </c>
    </row>
    <row r="90" spans="1:7">
      <c r="A90" s="4" t="s">
        <v>17</v>
      </c>
      <c r="B90" s="4" t="s">
        <v>21</v>
      </c>
      <c r="C90" s="4">
        <v>550.25</v>
      </c>
      <c r="D90" s="4">
        <v>1041.5</v>
      </c>
      <c r="E90">
        <v>491.25</v>
      </c>
      <c r="F90">
        <v>25</v>
      </c>
      <c r="G90" t="s">
        <v>98</v>
      </c>
    </row>
    <row r="91" spans="1:7">
      <c r="A91" s="4" t="s">
        <v>17</v>
      </c>
      <c r="B91" s="4" t="s">
        <v>16</v>
      </c>
      <c r="C91" s="4">
        <v>1627.25</v>
      </c>
      <c r="D91" s="4">
        <v>2295</v>
      </c>
      <c r="E91">
        <v>667.75</v>
      </c>
      <c r="F91">
        <v>25</v>
      </c>
      <c r="G91" t="s">
        <v>97</v>
      </c>
    </row>
    <row r="92" spans="1:7">
      <c r="A92" s="4" t="s">
        <v>25</v>
      </c>
      <c r="B92" s="4" t="s">
        <v>23</v>
      </c>
      <c r="C92" s="4">
        <v>54.72</v>
      </c>
      <c r="D92" s="4">
        <v>132.98</v>
      </c>
      <c r="E92">
        <v>78.26</v>
      </c>
      <c r="F92">
        <v>2</v>
      </c>
      <c r="G92" t="s">
        <v>105</v>
      </c>
    </row>
    <row r="93" spans="1:7">
      <c r="A93" s="4" t="s">
        <v>11</v>
      </c>
      <c r="B93" s="4" t="s">
        <v>21</v>
      </c>
      <c r="C93" s="4">
        <v>530.6</v>
      </c>
      <c r="D93" s="4">
        <v>962.8</v>
      </c>
      <c r="E93">
        <v>432.2</v>
      </c>
      <c r="F93">
        <v>20</v>
      </c>
      <c r="G93" t="s">
        <v>103</v>
      </c>
    </row>
    <row r="94" spans="1:7">
      <c r="A94" s="4" t="s">
        <v>25</v>
      </c>
      <c r="B94" s="4" t="s">
        <v>21</v>
      </c>
      <c r="C94" s="4">
        <v>993</v>
      </c>
      <c r="D94" s="4">
        <v>1748.8</v>
      </c>
      <c r="E94">
        <v>755.8</v>
      </c>
      <c r="F94">
        <v>20</v>
      </c>
      <c r="G94" t="s">
        <v>96</v>
      </c>
    </row>
    <row r="95" spans="1:7">
      <c r="A95" s="4" t="s">
        <v>25</v>
      </c>
      <c r="B95" s="4" t="s">
        <v>16</v>
      </c>
      <c r="C95" s="4">
        <v>205.74</v>
      </c>
      <c r="D95" s="4">
        <v>283.23</v>
      </c>
      <c r="E95">
        <v>77.49</v>
      </c>
      <c r="F95">
        <v>9</v>
      </c>
      <c r="G95" t="s">
        <v>102</v>
      </c>
    </row>
    <row r="96" spans="1:7">
      <c r="A96" s="4" t="s">
        <v>11</v>
      </c>
      <c r="B96" s="4" t="s">
        <v>16</v>
      </c>
      <c r="C96" s="4">
        <v>698.16</v>
      </c>
      <c r="D96" s="4">
        <v>1890</v>
      </c>
      <c r="E96">
        <v>1191.84</v>
      </c>
      <c r="F96">
        <v>24</v>
      </c>
      <c r="G96" t="s">
        <v>95</v>
      </c>
    </row>
    <row r="97" spans="1:7">
      <c r="A97" s="4" t="s">
        <v>14</v>
      </c>
      <c r="B97" s="4" t="s">
        <v>16</v>
      </c>
      <c r="C97" s="4">
        <v>407.93</v>
      </c>
      <c r="D97" s="4">
        <v>812.63</v>
      </c>
      <c r="E97">
        <v>404.7</v>
      </c>
      <c r="F97">
        <v>19</v>
      </c>
      <c r="G97" t="s">
        <v>99</v>
      </c>
    </row>
    <row r="98" spans="1:7">
      <c r="A98" s="4" t="s">
        <v>17</v>
      </c>
      <c r="B98" s="4" t="s">
        <v>23</v>
      </c>
      <c r="C98" s="4">
        <v>999.18</v>
      </c>
      <c r="D98" s="4">
        <v>1512.68</v>
      </c>
      <c r="E98">
        <v>513.5</v>
      </c>
      <c r="F98">
        <v>13</v>
      </c>
      <c r="G98" t="s">
        <v>102</v>
      </c>
    </row>
    <row r="99" spans="1:7">
      <c r="A99" s="4" t="s">
        <v>11</v>
      </c>
      <c r="B99" s="4" t="s">
        <v>16</v>
      </c>
      <c r="C99" s="4">
        <v>373.44</v>
      </c>
      <c r="D99" s="4">
        <v>703.44</v>
      </c>
      <c r="E99">
        <v>330</v>
      </c>
      <c r="F99">
        <v>24</v>
      </c>
      <c r="G99" t="s">
        <v>105</v>
      </c>
    </row>
    <row r="100" spans="1:7">
      <c r="A100" s="4" t="s">
        <v>25</v>
      </c>
      <c r="B100" s="4" t="s">
        <v>16</v>
      </c>
      <c r="C100" s="4">
        <v>80</v>
      </c>
      <c r="D100" s="4">
        <v>104.98</v>
      </c>
      <c r="E100">
        <v>24.98</v>
      </c>
      <c r="F100">
        <v>2</v>
      </c>
      <c r="G100" t="s">
        <v>96</v>
      </c>
    </row>
    <row r="101" spans="1:7">
      <c r="A101" s="4" t="s">
        <v>14</v>
      </c>
      <c r="B101" s="4" t="s">
        <v>21</v>
      </c>
      <c r="C101" s="4">
        <v>750</v>
      </c>
      <c r="D101" s="4">
        <v>906.75</v>
      </c>
      <c r="E101">
        <v>156.75</v>
      </c>
      <c r="F101">
        <v>15</v>
      </c>
      <c r="G101" t="s">
        <v>102</v>
      </c>
    </row>
    <row r="102" spans="1:7">
      <c r="A102" s="4" t="s">
        <v>25</v>
      </c>
      <c r="B102" s="4" t="s">
        <v>23</v>
      </c>
      <c r="C102" s="4">
        <v>203</v>
      </c>
      <c r="D102" s="4">
        <v>401.38</v>
      </c>
      <c r="E102">
        <v>198.38</v>
      </c>
      <c r="F102">
        <v>7</v>
      </c>
      <c r="G102" t="s">
        <v>100</v>
      </c>
    </row>
    <row r="103" spans="1:7">
      <c r="A103" s="4" t="s">
        <v>11</v>
      </c>
      <c r="B103" s="4" t="s">
        <v>10</v>
      </c>
      <c r="C103" s="4">
        <v>309.61</v>
      </c>
      <c r="D103" s="4">
        <v>515.41</v>
      </c>
      <c r="E103">
        <v>205.8</v>
      </c>
      <c r="F103">
        <v>7</v>
      </c>
      <c r="G103" t="s">
        <v>101</v>
      </c>
    </row>
    <row r="104" spans="1:7">
      <c r="A104" s="4" t="s">
        <v>17</v>
      </c>
      <c r="B104" s="4" t="s">
        <v>16</v>
      </c>
      <c r="C104" s="4">
        <v>245.04</v>
      </c>
      <c r="D104" s="4">
        <v>741.68</v>
      </c>
      <c r="E104">
        <v>496.64</v>
      </c>
      <c r="F104">
        <v>8</v>
      </c>
      <c r="G104" t="s">
        <v>100</v>
      </c>
    </row>
    <row r="105" spans="1:7">
      <c r="A105" s="4" t="s">
        <v>14</v>
      </c>
      <c r="B105" s="4" t="s">
        <v>50</v>
      </c>
      <c r="C105" s="4">
        <v>762.93</v>
      </c>
      <c r="D105" s="4">
        <v>1305.78</v>
      </c>
      <c r="E105">
        <v>542.85</v>
      </c>
      <c r="F105">
        <v>21</v>
      </c>
      <c r="G105" t="s">
        <v>97</v>
      </c>
    </row>
    <row r="106" spans="1:7">
      <c r="A106" s="4" t="s">
        <v>25</v>
      </c>
      <c r="B106" s="4" t="s">
        <v>10</v>
      </c>
      <c r="C106" s="4">
        <v>918</v>
      </c>
      <c r="D106" s="4">
        <v>1073.21</v>
      </c>
      <c r="E106">
        <v>155.21</v>
      </c>
      <c r="F106">
        <v>17</v>
      </c>
      <c r="G106" t="s">
        <v>96</v>
      </c>
    </row>
    <row r="107" spans="1:7">
      <c r="A107" s="4" t="s">
        <v>17</v>
      </c>
      <c r="B107" s="4" t="s">
        <v>21</v>
      </c>
      <c r="C107" s="4">
        <v>356.76</v>
      </c>
      <c r="D107" s="4">
        <v>583.44</v>
      </c>
      <c r="E107">
        <v>226.68</v>
      </c>
      <c r="F107">
        <v>12</v>
      </c>
      <c r="G107" t="s">
        <v>99</v>
      </c>
    </row>
    <row r="108" spans="1:7">
      <c r="A108" s="4" t="s">
        <v>25</v>
      </c>
      <c r="B108" s="4" t="s">
        <v>23</v>
      </c>
      <c r="C108" s="4">
        <v>47.48</v>
      </c>
      <c r="D108" s="4">
        <v>94.84</v>
      </c>
      <c r="E108">
        <v>47.36</v>
      </c>
      <c r="F108">
        <v>2</v>
      </c>
      <c r="G108" t="s">
        <v>95</v>
      </c>
    </row>
    <row r="109" spans="1:7">
      <c r="A109" s="4" t="s">
        <v>11</v>
      </c>
      <c r="B109" s="4" t="s">
        <v>21</v>
      </c>
      <c r="C109" s="4">
        <v>712.2</v>
      </c>
      <c r="D109" s="4">
        <v>1117.4</v>
      </c>
      <c r="E109">
        <v>405.2</v>
      </c>
      <c r="F109">
        <v>20</v>
      </c>
      <c r="G109" t="s">
        <v>102</v>
      </c>
    </row>
    <row r="110" spans="1:7">
      <c r="A110" s="4" t="s">
        <v>25</v>
      </c>
      <c r="B110" s="4" t="s">
        <v>16</v>
      </c>
      <c r="C110" s="4">
        <v>140.22</v>
      </c>
      <c r="D110" s="4">
        <v>279</v>
      </c>
      <c r="E110">
        <v>138.78</v>
      </c>
      <c r="F110">
        <v>18</v>
      </c>
      <c r="G110" t="s">
        <v>103</v>
      </c>
    </row>
    <row r="111" spans="1:7">
      <c r="A111" s="4" t="s">
        <v>11</v>
      </c>
      <c r="B111" s="4" t="s">
        <v>21</v>
      </c>
      <c r="C111" s="4">
        <v>182.15</v>
      </c>
      <c r="D111" s="4">
        <v>329.5</v>
      </c>
      <c r="E111">
        <v>147.35</v>
      </c>
      <c r="F111">
        <v>5</v>
      </c>
      <c r="G111" t="s">
        <v>103</v>
      </c>
    </row>
    <row r="112" spans="1:7">
      <c r="A112" s="4" t="s">
        <v>11</v>
      </c>
      <c r="B112" s="4" t="s">
        <v>23</v>
      </c>
      <c r="C112" s="4">
        <v>801.9</v>
      </c>
      <c r="D112" s="4">
        <v>1321.54</v>
      </c>
      <c r="E112">
        <v>519.64</v>
      </c>
      <c r="F112">
        <v>22</v>
      </c>
      <c r="G112" t="s">
        <v>96</v>
      </c>
    </row>
    <row r="113" spans="1:7">
      <c r="A113" s="4" t="s">
        <v>14</v>
      </c>
      <c r="B113" s="4" t="s">
        <v>21</v>
      </c>
      <c r="C113" s="4">
        <v>380.48</v>
      </c>
      <c r="D113" s="4">
        <v>579.52</v>
      </c>
      <c r="E113">
        <v>199.04</v>
      </c>
      <c r="F113">
        <v>16</v>
      </c>
      <c r="G113" t="s">
        <v>103</v>
      </c>
    </row>
    <row r="114" spans="1:7">
      <c r="A114" s="4" t="s">
        <v>25</v>
      </c>
      <c r="B114" s="4" t="s">
        <v>10</v>
      </c>
      <c r="C114" s="4">
        <v>1274.24</v>
      </c>
      <c r="D114" s="4">
        <v>1972.08</v>
      </c>
      <c r="E114">
        <v>697.84</v>
      </c>
      <c r="F114">
        <v>22</v>
      </c>
      <c r="G114" t="s">
        <v>99</v>
      </c>
    </row>
    <row r="115" spans="1:7">
      <c r="A115" s="4" t="s">
        <v>14</v>
      </c>
      <c r="B115" s="4" t="s">
        <v>21</v>
      </c>
      <c r="C115" s="4">
        <v>76.32</v>
      </c>
      <c r="D115" s="4">
        <v>234.88</v>
      </c>
      <c r="E115">
        <v>158.56</v>
      </c>
      <c r="F115">
        <v>4</v>
      </c>
      <c r="G115" t="s">
        <v>104</v>
      </c>
    </row>
    <row r="116" spans="1:7">
      <c r="A116" s="4" t="s">
        <v>25</v>
      </c>
      <c r="B116" s="4" t="s">
        <v>21</v>
      </c>
      <c r="C116" s="4">
        <v>112.48</v>
      </c>
      <c r="D116" s="4">
        <v>265.6</v>
      </c>
      <c r="E116">
        <v>153.12</v>
      </c>
      <c r="F116">
        <v>8</v>
      </c>
      <c r="G116" t="s">
        <v>104</v>
      </c>
    </row>
    <row r="117" spans="1:7">
      <c r="A117" s="4" t="s">
        <v>25</v>
      </c>
      <c r="B117" s="4" t="s">
        <v>10</v>
      </c>
      <c r="C117" s="4">
        <v>99.72</v>
      </c>
      <c r="D117" s="4">
        <v>296.1</v>
      </c>
      <c r="E117">
        <v>196.38</v>
      </c>
      <c r="F117">
        <v>18</v>
      </c>
      <c r="G117" t="s">
        <v>102</v>
      </c>
    </row>
    <row r="118" spans="1:7">
      <c r="A118" s="4" t="s">
        <v>25</v>
      </c>
      <c r="B118" s="4" t="s">
        <v>16</v>
      </c>
      <c r="C118" s="4">
        <v>351.27</v>
      </c>
      <c r="D118" s="4">
        <v>577.44</v>
      </c>
      <c r="E118">
        <v>226.17</v>
      </c>
      <c r="F118">
        <v>9</v>
      </c>
      <c r="G118" t="s">
        <v>105</v>
      </c>
    </row>
    <row r="119" spans="1:7">
      <c r="A119" s="4" t="s">
        <v>25</v>
      </c>
      <c r="B119" s="4" t="s">
        <v>10</v>
      </c>
      <c r="C119" s="4">
        <v>602.47</v>
      </c>
      <c r="D119" s="4">
        <v>1290.74</v>
      </c>
      <c r="E119">
        <v>688.27</v>
      </c>
      <c r="F119">
        <v>11</v>
      </c>
      <c r="G119" t="s">
        <v>96</v>
      </c>
    </row>
    <row r="120" spans="1:7">
      <c r="A120" s="4" t="s">
        <v>17</v>
      </c>
      <c r="B120" s="4" t="s">
        <v>16</v>
      </c>
      <c r="C120" s="4">
        <v>311.8</v>
      </c>
      <c r="D120" s="4">
        <v>499.3</v>
      </c>
      <c r="E120">
        <v>187.5</v>
      </c>
      <c r="F120">
        <v>5</v>
      </c>
      <c r="G120" t="s">
        <v>102</v>
      </c>
    </row>
    <row r="121" spans="1:7">
      <c r="A121" s="4" t="s">
        <v>17</v>
      </c>
      <c r="B121" s="4" t="s">
        <v>16</v>
      </c>
      <c r="C121" s="4">
        <v>192</v>
      </c>
      <c r="D121" s="4">
        <v>450</v>
      </c>
      <c r="E121">
        <v>258</v>
      </c>
      <c r="F121">
        <v>6</v>
      </c>
      <c r="G121" t="s">
        <v>99</v>
      </c>
    </row>
    <row r="122" spans="1:7">
      <c r="A122" s="4" t="s">
        <v>25</v>
      </c>
      <c r="B122" s="4" t="s">
        <v>23</v>
      </c>
      <c r="C122" s="4">
        <v>102.74</v>
      </c>
      <c r="D122" s="4">
        <v>185.79</v>
      </c>
      <c r="E122">
        <v>83.05</v>
      </c>
      <c r="F122">
        <v>11</v>
      </c>
      <c r="G122" t="s">
        <v>98</v>
      </c>
    </row>
    <row r="123" spans="1:7">
      <c r="A123" s="4" t="s">
        <v>25</v>
      </c>
      <c r="B123" s="4" t="s">
        <v>16</v>
      </c>
      <c r="C123" s="4">
        <v>263.7</v>
      </c>
      <c r="D123" s="4">
        <v>722.5</v>
      </c>
      <c r="E123">
        <v>458.8</v>
      </c>
      <c r="F123">
        <v>10</v>
      </c>
      <c r="G123" t="s">
        <v>95</v>
      </c>
    </row>
    <row r="124" spans="1:7">
      <c r="A124" s="4" t="s">
        <v>14</v>
      </c>
      <c r="B124" s="4" t="s">
        <v>23</v>
      </c>
      <c r="C124" s="4">
        <v>509.01</v>
      </c>
      <c r="D124" s="4">
        <v>881.6</v>
      </c>
      <c r="E124">
        <v>372.59</v>
      </c>
      <c r="F124">
        <v>19</v>
      </c>
      <c r="G124" t="s">
        <v>98</v>
      </c>
    </row>
    <row r="125" spans="1:7">
      <c r="A125" s="4" t="s">
        <v>25</v>
      </c>
      <c r="B125" s="4" t="s">
        <v>21</v>
      </c>
      <c r="C125" s="4">
        <v>611</v>
      </c>
      <c r="D125" s="4">
        <v>975.52</v>
      </c>
      <c r="E125">
        <v>364.52</v>
      </c>
      <c r="F125">
        <v>13</v>
      </c>
      <c r="G125" t="s">
        <v>102</v>
      </c>
    </row>
    <row r="126" spans="1:7">
      <c r="A126" s="4" t="s">
        <v>14</v>
      </c>
      <c r="B126" s="4" t="s">
        <v>10</v>
      </c>
      <c r="C126" s="4">
        <v>665.39</v>
      </c>
      <c r="D126" s="4">
        <v>1815.39</v>
      </c>
      <c r="E126">
        <v>1150</v>
      </c>
      <c r="F126">
        <v>23</v>
      </c>
      <c r="G126" t="s">
        <v>99</v>
      </c>
    </row>
    <row r="127" spans="1:7">
      <c r="A127" s="4" t="s">
        <v>17</v>
      </c>
      <c r="B127" s="4" t="s">
        <v>10</v>
      </c>
      <c r="C127" s="4">
        <v>1111.13</v>
      </c>
      <c r="D127" s="4">
        <v>2082.88</v>
      </c>
      <c r="E127">
        <v>971.75</v>
      </c>
      <c r="F127">
        <v>23</v>
      </c>
      <c r="G127" t="s">
        <v>100</v>
      </c>
    </row>
    <row r="128" spans="1:7">
      <c r="A128" s="4" t="s">
        <v>25</v>
      </c>
      <c r="B128" s="4" t="s">
        <v>23</v>
      </c>
      <c r="C128" s="4">
        <v>824.09</v>
      </c>
      <c r="D128" s="4">
        <v>1966.96</v>
      </c>
      <c r="E128">
        <v>1142.87</v>
      </c>
      <c r="F128">
        <v>23</v>
      </c>
      <c r="G128" t="s">
        <v>97</v>
      </c>
    </row>
    <row r="129" spans="1:7">
      <c r="A129" s="4" t="s">
        <v>17</v>
      </c>
      <c r="B129" s="4" t="s">
        <v>21</v>
      </c>
      <c r="C129" s="4">
        <v>498.41</v>
      </c>
      <c r="D129" s="4">
        <v>797.83</v>
      </c>
      <c r="E129">
        <v>299.42</v>
      </c>
      <c r="F129">
        <v>11</v>
      </c>
      <c r="G129" t="s">
        <v>99</v>
      </c>
    </row>
    <row r="130" spans="1:7">
      <c r="A130" s="4" t="s">
        <v>25</v>
      </c>
      <c r="B130" s="4" t="s">
        <v>21</v>
      </c>
      <c r="C130" s="4">
        <v>269.06</v>
      </c>
      <c r="D130" s="4">
        <v>451.88</v>
      </c>
      <c r="E130">
        <v>182.82</v>
      </c>
      <c r="F130">
        <v>22</v>
      </c>
      <c r="G130" t="s">
        <v>101</v>
      </c>
    </row>
    <row r="131" spans="1:7">
      <c r="A131" s="4" t="s">
        <v>14</v>
      </c>
      <c r="B131" s="4" t="s">
        <v>10</v>
      </c>
      <c r="C131" s="4">
        <v>933.03</v>
      </c>
      <c r="D131" s="4">
        <v>2304.96</v>
      </c>
      <c r="E131">
        <v>1371.93</v>
      </c>
      <c r="F131">
        <v>21</v>
      </c>
      <c r="G131" t="s">
        <v>96</v>
      </c>
    </row>
    <row r="132" spans="1:7">
      <c r="A132" s="4" t="s">
        <v>17</v>
      </c>
      <c r="B132" s="4" t="s">
        <v>10</v>
      </c>
      <c r="C132" s="4">
        <v>240.72</v>
      </c>
      <c r="D132" s="4">
        <v>561.84</v>
      </c>
      <c r="E132">
        <v>321.12</v>
      </c>
      <c r="F132">
        <v>6</v>
      </c>
      <c r="G132" t="s">
        <v>104</v>
      </c>
    </row>
    <row r="133" spans="1:7">
      <c r="A133" s="4" t="s">
        <v>14</v>
      </c>
      <c r="B133" s="4" t="s">
        <v>16</v>
      </c>
      <c r="C133" s="4">
        <v>62.59</v>
      </c>
      <c r="D133" s="4">
        <v>119.69</v>
      </c>
      <c r="E133">
        <v>57.1</v>
      </c>
      <c r="F133">
        <v>1</v>
      </c>
      <c r="G133" t="s">
        <v>99</v>
      </c>
    </row>
    <row r="134" spans="1:7">
      <c r="A134" s="4" t="s">
        <v>17</v>
      </c>
      <c r="B134" s="4" t="s">
        <v>16</v>
      </c>
      <c r="C134" s="4">
        <v>420.41</v>
      </c>
      <c r="D134" s="4">
        <v>1166.71</v>
      </c>
      <c r="E134">
        <v>746.3</v>
      </c>
      <c r="F134">
        <v>17</v>
      </c>
      <c r="G134" t="s">
        <v>96</v>
      </c>
    </row>
    <row r="135" spans="1:7">
      <c r="A135" s="4" t="s">
        <v>25</v>
      </c>
      <c r="B135" s="4" t="s">
        <v>21</v>
      </c>
      <c r="C135" s="4">
        <v>878.04</v>
      </c>
      <c r="D135" s="4">
        <v>1527.12</v>
      </c>
      <c r="E135">
        <v>649.08</v>
      </c>
      <c r="F135">
        <v>18</v>
      </c>
      <c r="G135" t="s">
        <v>104</v>
      </c>
    </row>
    <row r="136" spans="1:7">
      <c r="A136" s="4" t="s">
        <v>25</v>
      </c>
      <c r="B136" s="4" t="s">
        <v>16</v>
      </c>
      <c r="C136" s="4">
        <v>0</v>
      </c>
      <c r="D136" s="4">
        <v>0</v>
      </c>
      <c r="E136">
        <v>0</v>
      </c>
      <c r="F136">
        <v>0</v>
      </c>
      <c r="G136" t="s">
        <v>100</v>
      </c>
    </row>
    <row r="137" spans="1:7">
      <c r="A137" s="4" t="s">
        <v>25</v>
      </c>
      <c r="B137" s="4" t="s">
        <v>10</v>
      </c>
      <c r="C137" s="4">
        <v>858.06</v>
      </c>
      <c r="D137" s="4">
        <v>1391.67</v>
      </c>
      <c r="E137">
        <v>533.61</v>
      </c>
      <c r="F137">
        <v>21</v>
      </c>
      <c r="G137" t="s">
        <v>96</v>
      </c>
    </row>
    <row r="138" spans="1:7">
      <c r="A138" s="4" t="s">
        <v>25</v>
      </c>
      <c r="B138" s="4" t="s">
        <v>23</v>
      </c>
      <c r="C138" s="4">
        <v>1242.36</v>
      </c>
      <c r="D138" s="4">
        <v>1879.86</v>
      </c>
      <c r="E138">
        <v>637.5</v>
      </c>
      <c r="F138">
        <v>17</v>
      </c>
      <c r="G138" t="s">
        <v>96</v>
      </c>
    </row>
    <row r="139" spans="1:7">
      <c r="A139" s="4" t="s">
        <v>11</v>
      </c>
      <c r="B139" s="4" t="s">
        <v>21</v>
      </c>
      <c r="C139" s="4">
        <v>202.4</v>
      </c>
      <c r="D139" s="4">
        <v>541.28</v>
      </c>
      <c r="E139">
        <v>338.88</v>
      </c>
      <c r="F139">
        <v>16</v>
      </c>
      <c r="G139" t="s">
        <v>103</v>
      </c>
    </row>
    <row r="140" spans="1:7">
      <c r="A140" s="4" t="s">
        <v>17</v>
      </c>
      <c r="B140" s="4" t="s">
        <v>23</v>
      </c>
      <c r="C140" s="4">
        <v>31.74</v>
      </c>
      <c r="D140" s="4">
        <v>72.35</v>
      </c>
      <c r="E140">
        <v>40.61</v>
      </c>
      <c r="F140">
        <v>1</v>
      </c>
      <c r="G140" t="s">
        <v>97</v>
      </c>
    </row>
    <row r="141" spans="1:7">
      <c r="A141" s="4" t="s">
        <v>11</v>
      </c>
      <c r="B141" s="4" t="s">
        <v>23</v>
      </c>
      <c r="C141" s="4">
        <v>101.72</v>
      </c>
      <c r="D141" s="4">
        <v>237</v>
      </c>
      <c r="E141">
        <v>135.28</v>
      </c>
      <c r="F141">
        <v>2</v>
      </c>
      <c r="G141" t="s">
        <v>100</v>
      </c>
    </row>
    <row r="142" spans="1:7">
      <c r="A142" s="4" t="s">
        <v>17</v>
      </c>
      <c r="B142" s="4" t="s">
        <v>21</v>
      </c>
      <c r="C142" s="4">
        <v>877.59</v>
      </c>
      <c r="D142" s="4">
        <v>2438.73</v>
      </c>
      <c r="E142">
        <v>1561.14</v>
      </c>
      <c r="F142">
        <v>21</v>
      </c>
      <c r="G142" t="s">
        <v>95</v>
      </c>
    </row>
    <row r="143" spans="1:7">
      <c r="A143" s="4" t="s">
        <v>17</v>
      </c>
      <c r="B143" s="4" t="s">
        <v>16</v>
      </c>
      <c r="C143" s="4">
        <v>396.44</v>
      </c>
      <c r="D143" s="4">
        <v>982.77</v>
      </c>
      <c r="E143">
        <v>586.33</v>
      </c>
      <c r="F143">
        <v>17</v>
      </c>
      <c r="G143" t="s">
        <v>100</v>
      </c>
    </row>
    <row r="144" spans="1:7">
      <c r="A144" s="4" t="s">
        <v>11</v>
      </c>
      <c r="B144" s="4" t="s">
        <v>16</v>
      </c>
      <c r="C144" s="4">
        <v>30</v>
      </c>
      <c r="D144" s="4">
        <v>45.8</v>
      </c>
      <c r="E144">
        <v>15.8</v>
      </c>
      <c r="F144">
        <v>2</v>
      </c>
      <c r="G144" t="s">
        <v>103</v>
      </c>
    </row>
    <row r="145" spans="1:7">
      <c r="A145" s="4" t="s">
        <v>11</v>
      </c>
      <c r="B145" s="4" t="s">
        <v>10</v>
      </c>
      <c r="C145" s="4">
        <v>187.65</v>
      </c>
      <c r="D145" s="4">
        <v>335.61</v>
      </c>
      <c r="E145">
        <v>147.96</v>
      </c>
      <c r="F145">
        <v>9</v>
      </c>
      <c r="G145" t="s">
        <v>101</v>
      </c>
    </row>
    <row r="146" spans="1:7">
      <c r="A146" s="4" t="s">
        <v>14</v>
      </c>
      <c r="B146" s="4" t="s">
        <v>10</v>
      </c>
      <c r="C146" s="4">
        <v>426.01</v>
      </c>
      <c r="D146" s="4">
        <v>936.39</v>
      </c>
      <c r="E146">
        <v>510.38</v>
      </c>
      <c r="F146">
        <v>13</v>
      </c>
      <c r="G146" t="s">
        <v>99</v>
      </c>
    </row>
    <row r="147" spans="1:7">
      <c r="A147" s="4" t="s">
        <v>17</v>
      </c>
      <c r="B147" s="4" t="s">
        <v>21</v>
      </c>
      <c r="C147" s="4">
        <v>206.29</v>
      </c>
      <c r="D147" s="4">
        <v>311.36</v>
      </c>
      <c r="E147">
        <v>105.07</v>
      </c>
      <c r="F147">
        <v>7</v>
      </c>
      <c r="G147" t="s">
        <v>104</v>
      </c>
    </row>
    <row r="148" spans="1:7">
      <c r="A148" s="4" t="s">
        <v>17</v>
      </c>
      <c r="B148" s="4" t="s">
        <v>21</v>
      </c>
      <c r="C148" s="4">
        <v>45.14</v>
      </c>
      <c r="D148" s="4">
        <v>139.7</v>
      </c>
      <c r="E148">
        <v>94.56</v>
      </c>
      <c r="F148">
        <v>2</v>
      </c>
      <c r="G148" t="s">
        <v>99</v>
      </c>
    </row>
    <row r="149" spans="1:7">
      <c r="A149" s="4" t="s">
        <v>25</v>
      </c>
      <c r="B149" s="4" t="s">
        <v>10</v>
      </c>
      <c r="C149" s="4">
        <v>0</v>
      </c>
      <c r="D149" s="4">
        <v>0</v>
      </c>
      <c r="E149">
        <v>0</v>
      </c>
      <c r="F149">
        <v>0</v>
      </c>
      <c r="G149" t="s">
        <v>101</v>
      </c>
    </row>
    <row r="150" spans="1:7">
      <c r="A150" s="4" t="s">
        <v>17</v>
      </c>
      <c r="B150" s="4" t="s">
        <v>10</v>
      </c>
      <c r="C150" s="4">
        <v>539.2</v>
      </c>
      <c r="D150" s="4">
        <v>1016</v>
      </c>
      <c r="E150">
        <v>476.8</v>
      </c>
      <c r="F150">
        <v>20</v>
      </c>
      <c r="G150" t="s">
        <v>102</v>
      </c>
    </row>
    <row r="151" spans="1:7">
      <c r="A151" s="4" t="s">
        <v>14</v>
      </c>
      <c r="B151" s="4" t="s">
        <v>21</v>
      </c>
      <c r="C151" s="4">
        <v>0</v>
      </c>
      <c r="D151" s="4">
        <v>0</v>
      </c>
      <c r="E151">
        <v>0</v>
      </c>
      <c r="F151">
        <v>0</v>
      </c>
      <c r="G151" t="s">
        <v>97</v>
      </c>
    </row>
    <row r="152" spans="1:7">
      <c r="A152" s="4" t="s">
        <v>25</v>
      </c>
      <c r="B152" s="4" t="s">
        <v>23</v>
      </c>
      <c r="C152" s="4">
        <v>909.15</v>
      </c>
      <c r="D152" s="4">
        <v>1745.7</v>
      </c>
      <c r="E152">
        <v>836.55</v>
      </c>
      <c r="F152">
        <v>15</v>
      </c>
      <c r="G152" t="s">
        <v>96</v>
      </c>
    </row>
    <row r="153" spans="1:7">
      <c r="A153" s="4" t="s">
        <v>11</v>
      </c>
      <c r="B153" s="4" t="s">
        <v>16</v>
      </c>
      <c r="C153" s="4">
        <v>210</v>
      </c>
      <c r="D153" s="4">
        <v>362.04</v>
      </c>
      <c r="E153">
        <v>152.04</v>
      </c>
      <c r="F153">
        <v>21</v>
      </c>
      <c r="G153" t="s">
        <v>95</v>
      </c>
    </row>
    <row r="154" spans="1:7">
      <c r="A154" s="4" t="s">
        <v>17</v>
      </c>
      <c r="B154" s="4" t="s">
        <v>23</v>
      </c>
      <c r="C154" s="4">
        <v>0</v>
      </c>
      <c r="D154" s="4">
        <v>0</v>
      </c>
      <c r="E154">
        <v>0</v>
      </c>
      <c r="F154">
        <v>0</v>
      </c>
      <c r="G154" t="s">
        <v>95</v>
      </c>
    </row>
    <row r="155" spans="1:7">
      <c r="A155" s="4" t="s">
        <v>11</v>
      </c>
      <c r="B155" s="4" t="s">
        <v>23</v>
      </c>
      <c r="C155" s="4">
        <v>241.28</v>
      </c>
      <c r="D155" s="4">
        <v>449.28</v>
      </c>
      <c r="E155">
        <v>208</v>
      </c>
      <c r="F155">
        <v>16</v>
      </c>
      <c r="G155" t="s">
        <v>103</v>
      </c>
    </row>
    <row r="156" spans="1:7">
      <c r="A156" s="4" t="s">
        <v>11</v>
      </c>
      <c r="B156" s="4" t="s">
        <v>10</v>
      </c>
      <c r="C156" s="4">
        <v>885.2</v>
      </c>
      <c r="D156" s="4">
        <v>1880.8</v>
      </c>
      <c r="E156">
        <v>995.6</v>
      </c>
      <c r="F156">
        <v>20</v>
      </c>
      <c r="G156" t="s">
        <v>102</v>
      </c>
    </row>
    <row r="157" spans="1:7">
      <c r="A157" s="4" t="s">
        <v>11</v>
      </c>
      <c r="B157" s="4" t="s">
        <v>23</v>
      </c>
      <c r="C157" s="4">
        <v>22.51</v>
      </c>
      <c r="D157" s="4">
        <v>36.81</v>
      </c>
      <c r="E157">
        <v>14.3</v>
      </c>
      <c r="F157">
        <v>1</v>
      </c>
      <c r="G157" t="s">
        <v>99</v>
      </c>
    </row>
    <row r="158" spans="1:7">
      <c r="A158" s="4" t="s">
        <v>11</v>
      </c>
      <c r="B158" s="4" t="s">
        <v>16</v>
      </c>
      <c r="C158" s="4">
        <v>332.28</v>
      </c>
      <c r="D158" s="4">
        <v>496.26</v>
      </c>
      <c r="E158">
        <v>163.98</v>
      </c>
      <c r="F158">
        <v>18</v>
      </c>
      <c r="G158" t="s">
        <v>97</v>
      </c>
    </row>
    <row r="159" spans="1:7">
      <c r="A159" s="4" t="s">
        <v>11</v>
      </c>
      <c r="B159" s="4" t="s">
        <v>21</v>
      </c>
      <c r="C159" s="4">
        <v>132.66</v>
      </c>
      <c r="D159" s="4">
        <v>195.8</v>
      </c>
      <c r="E159">
        <v>63.14</v>
      </c>
      <c r="F159">
        <v>11</v>
      </c>
      <c r="G159" t="s">
        <v>95</v>
      </c>
    </row>
    <row r="160" spans="1:7">
      <c r="A160" s="4" t="s">
        <v>14</v>
      </c>
      <c r="B160" s="4" t="s">
        <v>21</v>
      </c>
      <c r="C160" s="4">
        <v>420.36</v>
      </c>
      <c r="D160" s="4">
        <v>703.68</v>
      </c>
      <c r="E160">
        <v>283.32</v>
      </c>
      <c r="F160">
        <v>12</v>
      </c>
      <c r="G160" t="s">
        <v>103</v>
      </c>
    </row>
    <row r="161" spans="1:7">
      <c r="A161" s="4" t="s">
        <v>17</v>
      </c>
      <c r="B161" s="4" t="s">
        <v>23</v>
      </c>
      <c r="C161" s="4">
        <v>32.82</v>
      </c>
      <c r="D161" s="4">
        <v>65.64</v>
      </c>
      <c r="E161">
        <v>32.82</v>
      </c>
      <c r="F161">
        <v>3</v>
      </c>
      <c r="G161" t="s">
        <v>103</v>
      </c>
    </row>
    <row r="162" spans="1:7">
      <c r="A162" s="4" t="s">
        <v>11</v>
      </c>
      <c r="B162" s="4" t="s">
        <v>23</v>
      </c>
      <c r="C162" s="4">
        <v>507.25</v>
      </c>
      <c r="D162" s="4">
        <v>1176</v>
      </c>
      <c r="E162">
        <v>668.75</v>
      </c>
      <c r="F162">
        <v>25</v>
      </c>
      <c r="G162" t="s">
        <v>101</v>
      </c>
    </row>
    <row r="163" spans="1:7">
      <c r="A163" s="4" t="s">
        <v>25</v>
      </c>
      <c r="B163" s="4" t="s">
        <v>10</v>
      </c>
      <c r="C163" s="4">
        <v>176.7</v>
      </c>
      <c r="D163" s="4">
        <v>416.4</v>
      </c>
      <c r="E163">
        <v>239.7</v>
      </c>
      <c r="F163">
        <v>15</v>
      </c>
      <c r="G163" t="s">
        <v>97</v>
      </c>
    </row>
    <row r="164" spans="1:7">
      <c r="A164" s="4" t="s">
        <v>11</v>
      </c>
      <c r="B164" s="4" t="s">
        <v>23</v>
      </c>
      <c r="C164" s="4">
        <v>0</v>
      </c>
      <c r="D164" s="4">
        <v>0</v>
      </c>
      <c r="E164">
        <v>0</v>
      </c>
      <c r="F164">
        <v>0</v>
      </c>
      <c r="G164" t="s">
        <v>102</v>
      </c>
    </row>
    <row r="165" spans="1:7">
      <c r="A165" s="4" t="s">
        <v>14</v>
      </c>
      <c r="B165" s="4" t="s">
        <v>10</v>
      </c>
      <c r="C165" s="4">
        <v>250.45</v>
      </c>
      <c r="D165" s="4">
        <v>580.85</v>
      </c>
      <c r="E165">
        <v>330.4</v>
      </c>
      <c r="F165">
        <v>5</v>
      </c>
      <c r="G165" t="s">
        <v>105</v>
      </c>
    </row>
    <row r="166" spans="1:7">
      <c r="A166" s="4" t="s">
        <v>14</v>
      </c>
      <c r="B166" s="4" t="s">
        <v>23</v>
      </c>
      <c r="C166" s="4">
        <v>166.77</v>
      </c>
      <c r="D166" s="4">
        <v>534.31</v>
      </c>
      <c r="E166">
        <v>367.54</v>
      </c>
      <c r="F166">
        <v>17</v>
      </c>
      <c r="G166" t="s">
        <v>104</v>
      </c>
    </row>
    <row r="167" spans="1:7">
      <c r="A167" s="4" t="s">
        <v>17</v>
      </c>
      <c r="B167" s="4" t="s">
        <v>16</v>
      </c>
      <c r="C167" s="4">
        <v>191.8</v>
      </c>
      <c r="D167" s="4">
        <v>321.6</v>
      </c>
      <c r="E167">
        <v>129.8</v>
      </c>
      <c r="F167">
        <v>4</v>
      </c>
      <c r="G167" t="s">
        <v>102</v>
      </c>
    </row>
    <row r="168" spans="1:7">
      <c r="A168" s="4" t="s">
        <v>17</v>
      </c>
      <c r="B168" s="4" t="s">
        <v>23</v>
      </c>
      <c r="C168" s="4">
        <v>1939.75</v>
      </c>
      <c r="D168" s="4">
        <v>2914.75</v>
      </c>
      <c r="E168">
        <v>975</v>
      </c>
      <c r="F168">
        <v>25</v>
      </c>
      <c r="G168" t="s">
        <v>96</v>
      </c>
    </row>
    <row r="169" spans="1:7">
      <c r="A169" s="4" t="s">
        <v>17</v>
      </c>
      <c r="B169" s="4" t="s">
        <v>10</v>
      </c>
      <c r="C169" s="4">
        <v>354.4</v>
      </c>
      <c r="D169" s="4">
        <v>1163</v>
      </c>
      <c r="E169">
        <v>808.6</v>
      </c>
      <c r="F169">
        <v>10</v>
      </c>
      <c r="G169" t="s">
        <v>95</v>
      </c>
    </row>
    <row r="170" spans="1:7">
      <c r="A170" s="4" t="s">
        <v>14</v>
      </c>
      <c r="B170" s="4" t="s">
        <v>23</v>
      </c>
      <c r="C170" s="4">
        <v>0</v>
      </c>
      <c r="D170" s="4">
        <v>0</v>
      </c>
      <c r="E170">
        <v>0</v>
      </c>
      <c r="F170">
        <v>0</v>
      </c>
      <c r="G170" t="s">
        <v>99</v>
      </c>
    </row>
    <row r="171" spans="1:7">
      <c r="A171" s="4" t="s">
        <v>11</v>
      </c>
      <c r="B171" s="4" t="s">
        <v>10</v>
      </c>
      <c r="C171" s="4">
        <v>428.56</v>
      </c>
      <c r="D171" s="4">
        <v>1338.92</v>
      </c>
      <c r="E171">
        <v>910.36</v>
      </c>
      <c r="F171">
        <v>22</v>
      </c>
      <c r="G171" t="s">
        <v>99</v>
      </c>
    </row>
    <row r="172" spans="1:7">
      <c r="A172" s="4" t="s">
        <v>25</v>
      </c>
      <c r="B172" s="4" t="s">
        <v>10</v>
      </c>
      <c r="C172" s="4">
        <v>198.66</v>
      </c>
      <c r="D172" s="4">
        <v>518.56</v>
      </c>
      <c r="E172">
        <v>319.9</v>
      </c>
      <c r="F172">
        <v>14</v>
      </c>
      <c r="G172" t="s">
        <v>102</v>
      </c>
    </row>
    <row r="173" spans="1:7">
      <c r="A173" s="4" t="s">
        <v>14</v>
      </c>
      <c r="B173" s="4" t="s">
        <v>23</v>
      </c>
      <c r="C173" s="4">
        <v>755.7</v>
      </c>
      <c r="D173" s="4">
        <v>2185.48</v>
      </c>
      <c r="E173">
        <v>1429.78</v>
      </c>
      <c r="F173">
        <v>22</v>
      </c>
      <c r="G173" t="s">
        <v>99</v>
      </c>
    </row>
    <row r="174" spans="1:7">
      <c r="A174" s="4" t="s">
        <v>17</v>
      </c>
      <c r="B174" s="4" t="s">
        <v>23</v>
      </c>
      <c r="C174" s="4">
        <v>221.76</v>
      </c>
      <c r="D174" s="4">
        <v>438.12</v>
      </c>
      <c r="E174">
        <v>216.36</v>
      </c>
      <c r="F174">
        <v>18</v>
      </c>
      <c r="G174" t="s">
        <v>99</v>
      </c>
    </row>
    <row r="175" spans="1:7">
      <c r="A175" s="4" t="s">
        <v>11</v>
      </c>
      <c r="B175" s="4" t="s">
        <v>10</v>
      </c>
      <c r="C175" s="4">
        <v>341</v>
      </c>
      <c r="D175" s="4">
        <v>599.94</v>
      </c>
      <c r="E175">
        <v>258.94</v>
      </c>
      <c r="F175">
        <v>22</v>
      </c>
      <c r="G175" t="s">
        <v>100</v>
      </c>
    </row>
    <row r="176" spans="1:7">
      <c r="A176" s="4" t="s">
        <v>14</v>
      </c>
      <c r="B176" s="4" t="s">
        <v>10</v>
      </c>
      <c r="C176" s="4">
        <v>804.58</v>
      </c>
      <c r="D176" s="4">
        <v>1104.6</v>
      </c>
      <c r="E176">
        <v>300.02</v>
      </c>
      <c r="F176">
        <v>14</v>
      </c>
      <c r="G176" t="s">
        <v>98</v>
      </c>
    </row>
    <row r="177" spans="1:7">
      <c r="A177" s="4" t="s">
        <v>17</v>
      </c>
      <c r="B177" s="4" t="s">
        <v>23</v>
      </c>
      <c r="C177" s="4">
        <v>58.34</v>
      </c>
      <c r="D177" s="4">
        <v>146.12</v>
      </c>
      <c r="E177">
        <v>87.78</v>
      </c>
      <c r="F177">
        <v>2</v>
      </c>
      <c r="G177" t="s">
        <v>98</v>
      </c>
    </row>
    <row r="178" spans="1:7">
      <c r="A178" s="4" t="s">
        <v>17</v>
      </c>
      <c r="B178" s="4" t="s">
        <v>23</v>
      </c>
      <c r="C178" s="4">
        <v>58.34</v>
      </c>
      <c r="D178" s="4">
        <v>146.12</v>
      </c>
      <c r="E178">
        <v>87.78</v>
      </c>
      <c r="F178">
        <v>2</v>
      </c>
      <c r="G178" t="s">
        <v>97</v>
      </c>
    </row>
    <row r="179" spans="1:7">
      <c r="A179" s="4" t="s">
        <v>11</v>
      </c>
      <c r="B179" s="4" t="s">
        <v>23</v>
      </c>
      <c r="C179" s="4">
        <v>1149.71</v>
      </c>
      <c r="D179" s="4">
        <v>1715.47</v>
      </c>
      <c r="E179">
        <v>565.76</v>
      </c>
      <c r="F179">
        <v>17</v>
      </c>
      <c r="G179" t="s">
        <v>102</v>
      </c>
    </row>
    <row r="180" spans="1:7">
      <c r="A180" s="4" t="s">
        <v>17</v>
      </c>
      <c r="B180" s="4" t="s">
        <v>10</v>
      </c>
      <c r="C180" s="4">
        <v>77.14</v>
      </c>
      <c r="D180" s="4">
        <v>118.84</v>
      </c>
      <c r="E180">
        <v>41.7</v>
      </c>
      <c r="F180">
        <v>2</v>
      </c>
      <c r="G180" t="s">
        <v>98</v>
      </c>
    </row>
    <row r="181" spans="1:7">
      <c r="A181" s="4" t="s">
        <v>14</v>
      </c>
      <c r="B181" s="4" t="s">
        <v>23</v>
      </c>
      <c r="C181" s="4">
        <v>196.25</v>
      </c>
      <c r="D181" s="4">
        <v>460.25</v>
      </c>
      <c r="E181">
        <v>264</v>
      </c>
      <c r="F181">
        <v>25</v>
      </c>
      <c r="G181" t="s">
        <v>106</v>
      </c>
    </row>
    <row r="182" spans="1:7">
      <c r="A182" s="4" t="s">
        <v>17</v>
      </c>
      <c r="B182" s="4" t="s">
        <v>16</v>
      </c>
      <c r="C182" s="4">
        <v>582.88</v>
      </c>
      <c r="D182" s="4">
        <v>845.12</v>
      </c>
      <c r="E182">
        <v>262.24</v>
      </c>
      <c r="F182">
        <v>8</v>
      </c>
      <c r="G182" t="s">
        <v>98</v>
      </c>
    </row>
    <row r="183" spans="1:7">
      <c r="A183" s="4" t="s">
        <v>17</v>
      </c>
      <c r="B183" s="4" t="s">
        <v>10</v>
      </c>
      <c r="C183" s="4">
        <v>55</v>
      </c>
      <c r="D183" s="4">
        <v>160.86</v>
      </c>
      <c r="E183">
        <v>105.86</v>
      </c>
      <c r="F183">
        <v>2</v>
      </c>
      <c r="G183" t="s">
        <v>96</v>
      </c>
    </row>
    <row r="184" spans="1:7">
      <c r="A184" s="4" t="s">
        <v>11</v>
      </c>
      <c r="B184" s="4" t="s">
        <v>16</v>
      </c>
      <c r="C184" s="4">
        <v>769.86</v>
      </c>
      <c r="D184" s="4">
        <v>1127.84</v>
      </c>
      <c r="E184">
        <v>357.98</v>
      </c>
      <c r="F184">
        <v>14</v>
      </c>
      <c r="G184" t="s">
        <v>100</v>
      </c>
    </row>
    <row r="185" spans="1:7">
      <c r="A185" s="4" t="s">
        <v>17</v>
      </c>
      <c r="B185" s="4" t="s">
        <v>21</v>
      </c>
      <c r="C185" s="4">
        <v>1152.27</v>
      </c>
      <c r="D185" s="4">
        <v>1980.72</v>
      </c>
      <c r="E185">
        <v>828.45</v>
      </c>
      <c r="F185">
        <v>21</v>
      </c>
      <c r="G185" t="s">
        <v>95</v>
      </c>
    </row>
    <row r="186" spans="1:7">
      <c r="A186" s="4" t="s">
        <v>25</v>
      </c>
      <c r="B186" s="4" t="s">
        <v>10</v>
      </c>
      <c r="C186" s="4">
        <v>59.52</v>
      </c>
      <c r="D186" s="4">
        <v>176.64</v>
      </c>
      <c r="E186">
        <v>117.12</v>
      </c>
      <c r="F186">
        <v>8</v>
      </c>
      <c r="G186" t="s">
        <v>105</v>
      </c>
    </row>
    <row r="187" spans="1:7">
      <c r="A187" s="4" t="s">
        <v>11</v>
      </c>
      <c r="B187" s="4" t="s">
        <v>10</v>
      </c>
      <c r="C187" s="4">
        <v>163.5</v>
      </c>
      <c r="D187" s="4">
        <v>306.3</v>
      </c>
      <c r="E187">
        <v>142.8</v>
      </c>
      <c r="F187">
        <v>15</v>
      </c>
      <c r="G187" t="s">
        <v>103</v>
      </c>
    </row>
    <row r="188" spans="1:7">
      <c r="A188" s="4" t="s">
        <v>11</v>
      </c>
      <c r="B188" s="4" t="s">
        <v>10</v>
      </c>
      <c r="C188" s="4">
        <v>30.18</v>
      </c>
      <c r="D188" s="4">
        <v>69.45</v>
      </c>
      <c r="E188">
        <v>39.27</v>
      </c>
      <c r="F188">
        <v>3</v>
      </c>
      <c r="G188" t="s">
        <v>99</v>
      </c>
    </row>
    <row r="189" spans="1:7">
      <c r="A189" s="4" t="s">
        <v>25</v>
      </c>
      <c r="B189" s="4" t="s">
        <v>16</v>
      </c>
      <c r="C189" s="4">
        <v>1071.4</v>
      </c>
      <c r="D189" s="4">
        <v>1856.2</v>
      </c>
      <c r="E189">
        <v>784.8</v>
      </c>
      <c r="F189">
        <v>20</v>
      </c>
      <c r="G189" t="s">
        <v>105</v>
      </c>
    </row>
    <row r="190" spans="1:7">
      <c r="A190" s="4" t="s">
        <v>14</v>
      </c>
      <c r="B190" s="4" t="s">
        <v>23</v>
      </c>
      <c r="C190" s="4">
        <v>240.6</v>
      </c>
      <c r="D190" s="4">
        <v>422</v>
      </c>
      <c r="E190">
        <v>181.4</v>
      </c>
      <c r="F190">
        <v>20</v>
      </c>
      <c r="G190" t="s">
        <v>101</v>
      </c>
    </row>
    <row r="191" spans="1:7">
      <c r="A191" s="4" t="s">
        <v>17</v>
      </c>
      <c r="B191" s="4" t="s">
        <v>10</v>
      </c>
      <c r="C191" s="4">
        <v>39.4</v>
      </c>
      <c r="D191" s="4">
        <v>96.65</v>
      </c>
      <c r="E191">
        <v>57.25</v>
      </c>
      <c r="F191">
        <v>1</v>
      </c>
      <c r="G191" t="s">
        <v>99</v>
      </c>
    </row>
    <row r="192" spans="1:7">
      <c r="A192" s="4" t="s">
        <v>17</v>
      </c>
      <c r="B192" s="4" t="s">
        <v>10</v>
      </c>
      <c r="C192" s="4">
        <v>39.4</v>
      </c>
      <c r="D192" s="4">
        <v>96.65</v>
      </c>
      <c r="E192">
        <v>57.25</v>
      </c>
      <c r="F192">
        <v>1</v>
      </c>
      <c r="G192" t="s">
        <v>100</v>
      </c>
    </row>
    <row r="193" spans="1:7">
      <c r="A193" s="4" t="s">
        <v>17</v>
      </c>
      <c r="B193" s="4" t="s">
        <v>21</v>
      </c>
      <c r="C193" s="4">
        <v>479.22</v>
      </c>
      <c r="D193" s="4">
        <v>643.86</v>
      </c>
      <c r="E193">
        <v>164.64</v>
      </c>
      <c r="F193">
        <v>21</v>
      </c>
      <c r="G193" t="s">
        <v>105</v>
      </c>
    </row>
    <row r="194" spans="1:7">
      <c r="A194" s="4" t="s">
        <v>17</v>
      </c>
      <c r="B194" s="4" t="s">
        <v>23</v>
      </c>
      <c r="C194" s="4">
        <v>144.72</v>
      </c>
      <c r="D194" s="4">
        <v>250.8</v>
      </c>
      <c r="E194">
        <v>106.08</v>
      </c>
      <c r="F194">
        <v>12</v>
      </c>
      <c r="G194" t="s">
        <v>97</v>
      </c>
    </row>
    <row r="195" spans="1:7">
      <c r="A195" s="4" t="s">
        <v>11</v>
      </c>
      <c r="B195" s="4" t="s">
        <v>21</v>
      </c>
      <c r="C195" s="4">
        <v>385.06</v>
      </c>
      <c r="D195" s="4">
        <v>1180.92</v>
      </c>
      <c r="E195">
        <v>795.86</v>
      </c>
      <c r="F195">
        <v>13</v>
      </c>
      <c r="G195" t="s">
        <v>98</v>
      </c>
    </row>
    <row r="196" spans="1:7">
      <c r="A196" s="4" t="s">
        <v>11</v>
      </c>
      <c r="B196" s="4" t="s">
        <v>10</v>
      </c>
      <c r="C196" s="4">
        <v>470.36</v>
      </c>
      <c r="D196" s="4">
        <v>753.28</v>
      </c>
      <c r="E196">
        <v>282.92</v>
      </c>
      <c r="F196">
        <v>11</v>
      </c>
      <c r="G196" t="s">
        <v>100</v>
      </c>
    </row>
    <row r="197" spans="1:7">
      <c r="A197" s="4" t="s">
        <v>11</v>
      </c>
      <c r="B197" s="4" t="s">
        <v>16</v>
      </c>
      <c r="C197" s="4">
        <v>760.86</v>
      </c>
      <c r="D197" s="4">
        <v>1435.86</v>
      </c>
      <c r="E197">
        <v>675</v>
      </c>
      <c r="F197">
        <v>18</v>
      </c>
      <c r="G197" t="s">
        <v>103</v>
      </c>
    </row>
    <row r="198" spans="1:7">
      <c r="A198" s="4" t="s">
        <v>11</v>
      </c>
      <c r="B198" s="4" t="s">
        <v>16</v>
      </c>
      <c r="C198" s="4">
        <v>0</v>
      </c>
      <c r="D198" s="4">
        <v>0</v>
      </c>
      <c r="E198">
        <v>0</v>
      </c>
      <c r="F198">
        <v>0</v>
      </c>
      <c r="G198" t="s">
        <v>98</v>
      </c>
    </row>
    <row r="199" spans="1:7">
      <c r="A199" s="4" t="s">
        <v>25</v>
      </c>
      <c r="B199" s="4" t="s">
        <v>23</v>
      </c>
      <c r="C199" s="4">
        <v>88.92</v>
      </c>
      <c r="D199" s="4">
        <v>147.46</v>
      </c>
      <c r="E199">
        <v>58.54</v>
      </c>
      <c r="F199">
        <v>2</v>
      </c>
      <c r="G199" t="s">
        <v>103</v>
      </c>
    </row>
    <row r="200" spans="1:7">
      <c r="A200" s="4" t="s">
        <v>25</v>
      </c>
      <c r="B200" s="4" t="s">
        <v>23</v>
      </c>
      <c r="C200" s="4">
        <v>449.65</v>
      </c>
      <c r="D200" s="4">
        <v>1042.61</v>
      </c>
      <c r="E200">
        <v>592.96</v>
      </c>
      <c r="F200">
        <v>17</v>
      </c>
      <c r="G200" t="s">
        <v>99</v>
      </c>
    </row>
    <row r="201" spans="1:7">
      <c r="A201" s="4" t="s">
        <v>14</v>
      </c>
      <c r="B201" s="4" t="s">
        <v>10</v>
      </c>
      <c r="C201" s="4">
        <v>111.15</v>
      </c>
      <c r="D201" s="4">
        <v>189.54</v>
      </c>
      <c r="E201">
        <v>78.39</v>
      </c>
      <c r="F201">
        <v>13</v>
      </c>
      <c r="G201" t="s">
        <v>100</v>
      </c>
    </row>
    <row r="202" spans="1:7">
      <c r="A202" s="4" t="s">
        <v>14</v>
      </c>
      <c r="B202" s="4" t="s">
        <v>21</v>
      </c>
      <c r="C202" s="4">
        <v>49.85</v>
      </c>
      <c r="D202" s="4">
        <v>117.04</v>
      </c>
      <c r="E202">
        <v>67.19</v>
      </c>
      <c r="F202">
        <v>1</v>
      </c>
      <c r="G202" t="s">
        <v>95</v>
      </c>
    </row>
    <row r="203" spans="1:7">
      <c r="A203" s="4" t="s">
        <v>17</v>
      </c>
      <c r="B203" s="4" t="s">
        <v>16</v>
      </c>
      <c r="C203" s="4">
        <v>120.96</v>
      </c>
      <c r="D203" s="4">
        <v>337.14</v>
      </c>
      <c r="E203">
        <v>216.18</v>
      </c>
      <c r="F203">
        <v>18</v>
      </c>
      <c r="G203" t="s">
        <v>105</v>
      </c>
    </row>
    <row r="204" spans="1:7">
      <c r="A204" s="4" t="s">
        <v>14</v>
      </c>
      <c r="B204" s="4" t="s">
        <v>23</v>
      </c>
      <c r="C204" s="4">
        <v>674.4</v>
      </c>
      <c r="D204" s="4">
        <v>1803.6</v>
      </c>
      <c r="E204">
        <v>1129.2</v>
      </c>
      <c r="F204">
        <v>24</v>
      </c>
      <c r="G204" t="s">
        <v>97</v>
      </c>
    </row>
  </sheetData>
  <pageMargins left="0.75" right="0.75" top="1" bottom="1" header="0.5" footer="0.5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4"/>
  <sheetViews>
    <sheetView workbookViewId="0">
      <selection activeCell="F2" sqref="F2"/>
    </sheetView>
  </sheetViews>
  <sheetFormatPr defaultColWidth="9" defaultRowHeight="16.8"/>
  <cols>
    <col min="2" max="2" width="18.75" customWidth="1"/>
    <col min="5" max="5" width="9.8984375" customWidth="1"/>
    <col min="6" max="6" width="10.6875"/>
    <col min="7" max="7" width="20.046875" customWidth="1"/>
    <col min="8" max="8" width="9.8984375" customWidth="1"/>
    <col min="9" max="9" width="14.7109375" customWidth="1"/>
  </cols>
  <sheetData>
    <row r="1" spans="1:6">
      <c r="A1" t="s">
        <v>2</v>
      </c>
      <c r="B1" s="4" t="s">
        <v>3</v>
      </c>
      <c r="C1" s="4" t="s">
        <v>7</v>
      </c>
      <c r="D1" s="4" t="s">
        <v>6</v>
      </c>
      <c r="E1" t="s">
        <v>1</v>
      </c>
      <c r="F1" t="s">
        <v>132</v>
      </c>
    </row>
    <row r="2" spans="1:6">
      <c r="A2" t="s">
        <v>24</v>
      </c>
      <c r="B2" s="4" t="s">
        <v>16</v>
      </c>
      <c r="C2" s="4">
        <v>12.13</v>
      </c>
      <c r="D2" s="4">
        <v>24.05</v>
      </c>
      <c r="E2">
        <f>_xlfn.XLOOKUP(A2,Data_Cleaned!D:D,Data_Cleaned!C:C)</f>
        <v>1008</v>
      </c>
      <c r="F2" s="5">
        <f>_xlfn.XLOOKUP(A2,Data_Cleaned!D:D,Data_Cleaned!A:A)</f>
        <v>45562</v>
      </c>
    </row>
    <row r="3" spans="1:6">
      <c r="A3" t="s">
        <v>24</v>
      </c>
      <c r="B3" s="4" t="s">
        <v>23</v>
      </c>
      <c r="C3" s="4">
        <v>31.15</v>
      </c>
      <c r="D3" s="4">
        <v>79.54</v>
      </c>
      <c r="E3">
        <f>_xlfn.XLOOKUP(A3,Data_Cleaned!D:D,Data_Cleaned!C:C)</f>
        <v>1008</v>
      </c>
      <c r="F3" s="5">
        <f>_xlfn.XLOOKUP(A3,Data_Cleaned!D:D,Data_Cleaned!A:A)</f>
        <v>45562</v>
      </c>
    </row>
    <row r="4" spans="1:11">
      <c r="A4" t="s">
        <v>24</v>
      </c>
      <c r="B4" s="4" t="s">
        <v>10</v>
      </c>
      <c r="C4" s="4">
        <v>12.73</v>
      </c>
      <c r="D4" s="4">
        <v>36.27</v>
      </c>
      <c r="E4">
        <f>_xlfn.XLOOKUP(A4,Data_Cleaned!D:D,Data_Cleaned!C:C)</f>
        <v>1008</v>
      </c>
      <c r="F4" s="5">
        <f>_xlfn.XLOOKUP(A4,Data_Cleaned!D:D,Data_Cleaned!A:A)</f>
        <v>45562</v>
      </c>
      <c r="H4" s="6"/>
      <c r="I4" s="6"/>
      <c r="J4" s="6"/>
      <c r="K4" s="6"/>
    </row>
    <row r="5" spans="1:6">
      <c r="A5" t="s">
        <v>24</v>
      </c>
      <c r="B5" s="4" t="s">
        <v>21</v>
      </c>
      <c r="C5" s="4">
        <v>53.31</v>
      </c>
      <c r="D5" s="4">
        <v>110.21</v>
      </c>
      <c r="E5">
        <f>_xlfn.XLOOKUP(A5,Data_Cleaned!D:D,Data_Cleaned!C:C)</f>
        <v>1008</v>
      </c>
      <c r="F5" s="5">
        <f>_xlfn.XLOOKUP(A5,Data_Cleaned!D:D,Data_Cleaned!A:A)</f>
        <v>45562</v>
      </c>
    </row>
    <row r="6" spans="1:6">
      <c r="A6" t="s">
        <v>24</v>
      </c>
      <c r="B6" s="4" t="s">
        <v>10</v>
      </c>
      <c r="C6" s="4">
        <v>40.12</v>
      </c>
      <c r="D6" s="4">
        <v>93.64</v>
      </c>
      <c r="E6">
        <f>_xlfn.XLOOKUP(A6,Data_Cleaned!D:D,Data_Cleaned!C:C)</f>
        <v>1008</v>
      </c>
      <c r="F6" s="5">
        <f>_xlfn.XLOOKUP(A6,Data_Cleaned!D:D,Data_Cleaned!A:A)</f>
        <v>45562</v>
      </c>
    </row>
    <row r="7" spans="1:6">
      <c r="A7" t="s">
        <v>24</v>
      </c>
      <c r="B7" s="4" t="s">
        <v>21</v>
      </c>
      <c r="C7" s="4">
        <v>35.03</v>
      </c>
      <c r="D7" s="4">
        <v>58.64</v>
      </c>
      <c r="E7">
        <f>_xlfn.XLOOKUP(A7,Data_Cleaned!D:D,Data_Cleaned!C:C)</f>
        <v>1008</v>
      </c>
      <c r="F7" s="5">
        <f>_xlfn.XLOOKUP(A7,Data_Cleaned!D:D,Data_Cleaned!A:A)</f>
        <v>45562</v>
      </c>
    </row>
    <row r="8" spans="1:6">
      <c r="A8" t="s">
        <v>24</v>
      </c>
      <c r="B8" s="4" t="s">
        <v>21</v>
      </c>
      <c r="C8" s="4">
        <v>22.82</v>
      </c>
      <c r="D8" s="4">
        <v>30.66</v>
      </c>
      <c r="E8">
        <f>_xlfn.XLOOKUP(A8,Data_Cleaned!D:D,Data_Cleaned!C:C)</f>
        <v>1008</v>
      </c>
      <c r="F8" s="5">
        <f>_xlfn.XLOOKUP(A8,Data_Cleaned!D:D,Data_Cleaned!A:A)</f>
        <v>45562</v>
      </c>
    </row>
    <row r="9" spans="1:6">
      <c r="A9" t="s">
        <v>39</v>
      </c>
      <c r="B9" s="4" t="s">
        <v>40</v>
      </c>
      <c r="C9" s="4">
        <v>66.45</v>
      </c>
      <c r="D9" s="4">
        <v>114.48</v>
      </c>
      <c r="E9">
        <f>_xlfn.XLOOKUP(A9,Data_Cleaned!D:D,Data_Cleaned!C:C)</f>
        <v>1027</v>
      </c>
      <c r="F9" s="5">
        <f>_xlfn.XLOOKUP(A9,Data_Cleaned!D:D,Data_Cleaned!A:A)</f>
        <v>45445</v>
      </c>
    </row>
    <row r="10" spans="1:6">
      <c r="A10" t="s">
        <v>39</v>
      </c>
      <c r="B10" s="4" t="s">
        <v>10</v>
      </c>
      <c r="C10" s="4">
        <v>64.98</v>
      </c>
      <c r="D10" s="4">
        <v>111.78</v>
      </c>
      <c r="E10">
        <f>_xlfn.XLOOKUP(A10,Data_Cleaned!D:D,Data_Cleaned!C:C)</f>
        <v>1027</v>
      </c>
      <c r="F10" s="5">
        <f>_xlfn.XLOOKUP(A10,Data_Cleaned!D:D,Data_Cleaned!A:A)</f>
        <v>45445</v>
      </c>
    </row>
    <row r="11" spans="1:6">
      <c r="A11" t="s">
        <v>39</v>
      </c>
      <c r="B11" s="4" t="s">
        <v>21</v>
      </c>
      <c r="C11" s="4">
        <v>36.02</v>
      </c>
      <c r="D11" s="4">
        <v>58.04</v>
      </c>
      <c r="E11">
        <f>_xlfn.XLOOKUP(A11,Data_Cleaned!D:D,Data_Cleaned!C:C)</f>
        <v>1027</v>
      </c>
      <c r="F11" s="5">
        <f>_xlfn.XLOOKUP(A11,Data_Cleaned!D:D,Data_Cleaned!A:A)</f>
        <v>45445</v>
      </c>
    </row>
    <row r="12" spans="1:6">
      <c r="A12" t="s">
        <v>39</v>
      </c>
      <c r="B12" s="4" t="s">
        <v>16</v>
      </c>
      <c r="C12" s="4">
        <v>14.58</v>
      </c>
      <c r="D12" s="4">
        <v>41.5</v>
      </c>
      <c r="E12">
        <f>_xlfn.XLOOKUP(A12,Data_Cleaned!D:D,Data_Cleaned!C:C)</f>
        <v>1027</v>
      </c>
      <c r="F12" s="5">
        <f>_xlfn.XLOOKUP(A12,Data_Cleaned!D:D,Data_Cleaned!A:A)</f>
        <v>45445</v>
      </c>
    </row>
    <row r="13" spans="1:6">
      <c r="A13" t="s">
        <v>39</v>
      </c>
      <c r="B13" s="4" t="s">
        <v>10</v>
      </c>
      <c r="C13" s="4">
        <v>40.82</v>
      </c>
      <c r="D13" s="4">
        <v>94.87</v>
      </c>
      <c r="E13">
        <f>_xlfn.XLOOKUP(A13,Data_Cleaned!D:D,Data_Cleaned!C:C)</f>
        <v>1027</v>
      </c>
      <c r="F13" s="5">
        <f>_xlfn.XLOOKUP(A13,Data_Cleaned!D:D,Data_Cleaned!A:A)</f>
        <v>45445</v>
      </c>
    </row>
    <row r="14" spans="1:6">
      <c r="A14" t="s">
        <v>39</v>
      </c>
      <c r="B14" s="4" t="s">
        <v>23</v>
      </c>
      <c r="C14" s="4">
        <v>27.36</v>
      </c>
      <c r="D14" s="4">
        <v>66.49</v>
      </c>
      <c r="E14">
        <f>_xlfn.XLOOKUP(A14,Data_Cleaned!D:D,Data_Cleaned!C:C)</f>
        <v>1027</v>
      </c>
      <c r="F14" s="5">
        <f>_xlfn.XLOOKUP(A14,Data_Cleaned!D:D,Data_Cleaned!A:A)</f>
        <v>45445</v>
      </c>
    </row>
    <row r="15" spans="1:6">
      <c r="A15" t="s">
        <v>39</v>
      </c>
      <c r="B15" s="4" t="s">
        <v>21</v>
      </c>
      <c r="C15" s="4">
        <v>50</v>
      </c>
      <c r="D15" s="4">
        <v>60.45</v>
      </c>
      <c r="E15">
        <f>_xlfn.XLOOKUP(A15,Data_Cleaned!D:D,Data_Cleaned!C:C)</f>
        <v>1027</v>
      </c>
      <c r="F15" s="5">
        <f>_xlfn.XLOOKUP(A15,Data_Cleaned!D:D,Data_Cleaned!A:A)</f>
        <v>45445</v>
      </c>
    </row>
    <row r="16" spans="1:6">
      <c r="A16" t="s">
        <v>39</v>
      </c>
      <c r="B16" s="4" t="s">
        <v>23</v>
      </c>
      <c r="C16" s="4">
        <v>50.86</v>
      </c>
      <c r="D16" s="4">
        <v>118.5</v>
      </c>
      <c r="E16">
        <f>_xlfn.XLOOKUP(A16,Data_Cleaned!D:D,Data_Cleaned!C:C)</f>
        <v>1027</v>
      </c>
      <c r="F16" s="5">
        <f>_xlfn.XLOOKUP(A16,Data_Cleaned!D:D,Data_Cleaned!A:A)</f>
        <v>45445</v>
      </c>
    </row>
    <row r="17" spans="1:6">
      <c r="A17" t="s">
        <v>39</v>
      </c>
      <c r="B17" s="4" t="s">
        <v>23</v>
      </c>
      <c r="C17" s="4">
        <v>12.06</v>
      </c>
      <c r="D17" s="4">
        <v>20.9</v>
      </c>
      <c r="E17">
        <f>_xlfn.XLOOKUP(A17,Data_Cleaned!D:D,Data_Cleaned!C:C)</f>
        <v>1027</v>
      </c>
      <c r="F17" s="5">
        <f>_xlfn.XLOOKUP(A17,Data_Cleaned!D:D,Data_Cleaned!A:A)</f>
        <v>45445</v>
      </c>
    </row>
    <row r="18" spans="1:6">
      <c r="A18" t="s">
        <v>18</v>
      </c>
      <c r="B18" s="4" t="s">
        <v>10</v>
      </c>
      <c r="C18" s="4">
        <v>17.79</v>
      </c>
      <c r="D18" s="4">
        <v>29.57</v>
      </c>
      <c r="E18">
        <f>_xlfn.XLOOKUP(A18,Data_Cleaned!D:D,Data_Cleaned!C:C)</f>
        <v>1004</v>
      </c>
      <c r="F18" s="5">
        <f>_xlfn.XLOOKUP(A18,Data_Cleaned!D:D,Data_Cleaned!A:A)</f>
        <v>45315</v>
      </c>
    </row>
    <row r="19" spans="1:6">
      <c r="A19" t="s">
        <v>18</v>
      </c>
      <c r="B19" s="4" t="s">
        <v>10</v>
      </c>
      <c r="C19" s="4">
        <v>47.56</v>
      </c>
      <c r="D19" s="4">
        <v>96.52</v>
      </c>
      <c r="E19">
        <f>_xlfn.XLOOKUP(A19,Data_Cleaned!D:D,Data_Cleaned!C:C)</f>
        <v>1004</v>
      </c>
      <c r="F19" s="5">
        <f>_xlfn.XLOOKUP(A19,Data_Cleaned!D:D,Data_Cleaned!A:A)</f>
        <v>45315</v>
      </c>
    </row>
    <row r="20" spans="1:6">
      <c r="A20" t="s">
        <v>18</v>
      </c>
      <c r="B20" s="4" t="s">
        <v>10</v>
      </c>
      <c r="C20" s="4">
        <v>21.23</v>
      </c>
      <c r="D20" s="4">
        <v>38.31</v>
      </c>
      <c r="E20">
        <f>_xlfn.XLOOKUP(A20,Data_Cleaned!D:D,Data_Cleaned!C:C)</f>
        <v>1004</v>
      </c>
      <c r="F20" s="5">
        <f>_xlfn.XLOOKUP(A20,Data_Cleaned!D:D,Data_Cleaned!A:A)</f>
        <v>45315</v>
      </c>
    </row>
    <row r="21" spans="1:6">
      <c r="A21" t="s">
        <v>18</v>
      </c>
      <c r="B21" s="4" t="s">
        <v>23</v>
      </c>
      <c r="C21" s="4">
        <v>69.37</v>
      </c>
      <c r="D21" s="4">
        <v>115.32</v>
      </c>
      <c r="E21">
        <f>_xlfn.XLOOKUP(A21,Data_Cleaned!D:D,Data_Cleaned!C:C)</f>
        <v>1004</v>
      </c>
      <c r="F21" s="5">
        <f>_xlfn.XLOOKUP(A21,Data_Cleaned!D:D,Data_Cleaned!A:A)</f>
        <v>45315</v>
      </c>
    </row>
    <row r="22" spans="1:6">
      <c r="A22" t="s">
        <v>18</v>
      </c>
      <c r="B22" s="4" t="s">
        <v>23</v>
      </c>
      <c r="C22" s="4">
        <v>23.74</v>
      </c>
      <c r="D22" s="4">
        <v>47.42</v>
      </c>
      <c r="E22">
        <f>_xlfn.XLOOKUP(A22,Data_Cleaned!D:D,Data_Cleaned!C:C)</f>
        <v>1004</v>
      </c>
      <c r="F22" s="5">
        <f>_xlfn.XLOOKUP(A22,Data_Cleaned!D:D,Data_Cleaned!A:A)</f>
        <v>45315</v>
      </c>
    </row>
    <row r="23" spans="1:6">
      <c r="A23" t="s">
        <v>18</v>
      </c>
      <c r="B23" s="4" t="s">
        <v>16</v>
      </c>
      <c r="C23" s="4">
        <v>53.57</v>
      </c>
      <c r="D23" s="4">
        <v>92.81</v>
      </c>
      <c r="E23">
        <f>_xlfn.XLOOKUP(A23,Data_Cleaned!D:D,Data_Cleaned!C:C)</f>
        <v>1004</v>
      </c>
      <c r="F23" s="5">
        <f>_xlfn.XLOOKUP(A23,Data_Cleaned!D:D,Data_Cleaned!A:A)</f>
        <v>45315</v>
      </c>
    </row>
    <row r="24" spans="1:6">
      <c r="A24" t="s">
        <v>18</v>
      </c>
      <c r="B24" s="4" t="s">
        <v>23</v>
      </c>
      <c r="C24" s="4">
        <v>26.45</v>
      </c>
      <c r="D24" s="4">
        <v>61.33</v>
      </c>
      <c r="E24">
        <f>_xlfn.XLOOKUP(A24,Data_Cleaned!D:D,Data_Cleaned!C:C)</f>
        <v>1004</v>
      </c>
      <c r="F24" s="5">
        <f>_xlfn.XLOOKUP(A24,Data_Cleaned!D:D,Data_Cleaned!A:A)</f>
        <v>45315</v>
      </c>
    </row>
    <row r="25" spans="1:6">
      <c r="A25" t="s">
        <v>35</v>
      </c>
      <c r="B25" s="4" t="s">
        <v>16</v>
      </c>
      <c r="C25" s="4">
        <v>39.68</v>
      </c>
      <c r="D25" s="4">
        <v>106.96</v>
      </c>
      <c r="E25">
        <f>_xlfn.XLOOKUP(A25,Data_Cleaned!D:D,Data_Cleaned!C:C)</f>
        <v>1019</v>
      </c>
      <c r="F25" s="5">
        <f>_xlfn.XLOOKUP(A25,Data_Cleaned!D:D,Data_Cleaned!A:A)</f>
        <v>45605</v>
      </c>
    </row>
    <row r="26" spans="1:6">
      <c r="A26" t="s">
        <v>35</v>
      </c>
      <c r="B26" s="4" t="s">
        <v>16</v>
      </c>
      <c r="C26" s="4">
        <v>53.68</v>
      </c>
      <c r="D26" s="4">
        <v>110.24</v>
      </c>
      <c r="E26">
        <f>_xlfn.XLOOKUP(A26,Data_Cleaned!D:D,Data_Cleaned!C:C)</f>
        <v>1019</v>
      </c>
      <c r="F26" s="5">
        <f>_xlfn.XLOOKUP(A26,Data_Cleaned!D:D,Data_Cleaned!A:A)</f>
        <v>45605</v>
      </c>
    </row>
    <row r="27" spans="1:6">
      <c r="A27" t="s">
        <v>35</v>
      </c>
      <c r="B27" s="4" t="s">
        <v>21</v>
      </c>
      <c r="C27" s="4">
        <v>29.73</v>
      </c>
      <c r="D27" s="4">
        <v>48.62</v>
      </c>
      <c r="E27">
        <f>_xlfn.XLOOKUP(A27,Data_Cleaned!D:D,Data_Cleaned!C:C)</f>
        <v>1019</v>
      </c>
      <c r="F27" s="5">
        <f>_xlfn.XLOOKUP(A27,Data_Cleaned!D:D,Data_Cleaned!A:A)</f>
        <v>45605</v>
      </c>
    </row>
    <row r="28" spans="1:6">
      <c r="A28" t="s">
        <v>35</v>
      </c>
      <c r="B28" s="4" t="s">
        <v>23</v>
      </c>
      <c r="C28" s="4">
        <v>9.34</v>
      </c>
      <c r="D28" s="4">
        <v>16.89</v>
      </c>
      <c r="E28">
        <f>_xlfn.XLOOKUP(A28,Data_Cleaned!D:D,Data_Cleaned!C:C)</f>
        <v>1019</v>
      </c>
      <c r="F28" s="5">
        <f>_xlfn.XLOOKUP(A28,Data_Cleaned!D:D,Data_Cleaned!A:A)</f>
        <v>45605</v>
      </c>
    </row>
    <row r="29" spans="1:6">
      <c r="A29" t="s">
        <v>35</v>
      </c>
      <c r="B29" s="4" t="s">
        <v>16</v>
      </c>
      <c r="C29" s="4">
        <v>15</v>
      </c>
      <c r="D29" s="4">
        <v>22.9</v>
      </c>
      <c r="E29">
        <f>_xlfn.XLOOKUP(A29,Data_Cleaned!D:D,Data_Cleaned!C:C)</f>
        <v>1019</v>
      </c>
      <c r="F29" s="5">
        <f>_xlfn.XLOOKUP(A29,Data_Cleaned!D:D,Data_Cleaned!A:A)</f>
        <v>45605</v>
      </c>
    </row>
    <row r="30" spans="1:6">
      <c r="A30" t="s">
        <v>35</v>
      </c>
      <c r="B30" s="4" t="s">
        <v>16</v>
      </c>
      <c r="C30" s="4">
        <v>18.14</v>
      </c>
      <c r="D30" s="4">
        <v>38.41</v>
      </c>
      <c r="E30">
        <f>_xlfn.XLOOKUP(A30,Data_Cleaned!D:D,Data_Cleaned!C:C)</f>
        <v>1019</v>
      </c>
      <c r="F30" s="5">
        <f>_xlfn.XLOOKUP(A30,Data_Cleaned!D:D,Data_Cleaned!A:A)</f>
        <v>45605</v>
      </c>
    </row>
    <row r="31" spans="1:6">
      <c r="A31" t="s">
        <v>22</v>
      </c>
      <c r="B31" s="4" t="s">
        <v>23</v>
      </c>
      <c r="C31" s="4">
        <v>32.05</v>
      </c>
      <c r="D31" s="4">
        <v>97.54</v>
      </c>
      <c r="E31">
        <f>_xlfn.XLOOKUP(A31,Data_Cleaned!D:D,Data_Cleaned!C:C)</f>
        <v>1007</v>
      </c>
      <c r="F31" s="5">
        <f>_xlfn.XLOOKUP(A31,Data_Cleaned!D:D,Data_Cleaned!A:A)</f>
        <v>45496</v>
      </c>
    </row>
    <row r="32" spans="1:6">
      <c r="A32" t="s">
        <v>22</v>
      </c>
      <c r="B32" s="4" t="s">
        <v>21</v>
      </c>
      <c r="C32" s="4">
        <v>37.12</v>
      </c>
      <c r="D32" s="4">
        <v>78.79</v>
      </c>
      <c r="E32">
        <f>_xlfn.XLOOKUP(A32,Data_Cleaned!D:D,Data_Cleaned!C:C)</f>
        <v>1007</v>
      </c>
      <c r="F32" s="5">
        <f>_xlfn.XLOOKUP(A32,Data_Cleaned!D:D,Data_Cleaned!A:A)</f>
        <v>45496</v>
      </c>
    </row>
    <row r="33" spans="1:6">
      <c r="A33" t="s">
        <v>22</v>
      </c>
      <c r="B33" s="4" t="s">
        <v>21</v>
      </c>
      <c r="C33" s="4">
        <v>39.93</v>
      </c>
      <c r="D33" s="4">
        <v>92.89</v>
      </c>
      <c r="E33">
        <f>_xlfn.XLOOKUP(A33,Data_Cleaned!D:D,Data_Cleaned!C:C)</f>
        <v>1007</v>
      </c>
      <c r="F33" s="5">
        <f>_xlfn.XLOOKUP(A33,Data_Cleaned!D:D,Data_Cleaned!A:A)</f>
        <v>45496</v>
      </c>
    </row>
    <row r="34" spans="1:6">
      <c r="A34" t="s">
        <v>22</v>
      </c>
      <c r="B34" s="4" t="s">
        <v>21</v>
      </c>
      <c r="C34" s="4">
        <v>44.19</v>
      </c>
      <c r="D34" s="4">
        <v>79.82</v>
      </c>
      <c r="E34">
        <f>_xlfn.XLOOKUP(A34,Data_Cleaned!D:D,Data_Cleaned!C:C)</f>
        <v>1007</v>
      </c>
      <c r="F34" s="5">
        <f>_xlfn.XLOOKUP(A34,Data_Cleaned!D:D,Data_Cleaned!A:A)</f>
        <v>45496</v>
      </c>
    </row>
    <row r="35" spans="1:6">
      <c r="A35" t="s">
        <v>22</v>
      </c>
      <c r="B35" s="4" t="s">
        <v>21</v>
      </c>
      <c r="C35" s="4">
        <v>49.65</v>
      </c>
      <c r="D35" s="4">
        <v>87.44</v>
      </c>
      <c r="E35">
        <f>_xlfn.XLOOKUP(A35,Data_Cleaned!D:D,Data_Cleaned!C:C)</f>
        <v>1007</v>
      </c>
      <c r="F35" s="5">
        <f>_xlfn.XLOOKUP(A35,Data_Cleaned!D:D,Data_Cleaned!A:A)</f>
        <v>45496</v>
      </c>
    </row>
    <row r="36" spans="1:6">
      <c r="A36" t="s">
        <v>22</v>
      </c>
      <c r="B36" s="4" t="s">
        <v>16</v>
      </c>
      <c r="C36" s="4">
        <v>22.86</v>
      </c>
      <c r="D36" s="4">
        <v>31.47</v>
      </c>
      <c r="E36">
        <f>_xlfn.XLOOKUP(A36,Data_Cleaned!D:D,Data_Cleaned!C:C)</f>
        <v>1007</v>
      </c>
      <c r="F36" s="5">
        <f>_xlfn.XLOOKUP(A36,Data_Cleaned!D:D,Data_Cleaned!A:A)</f>
        <v>45496</v>
      </c>
    </row>
    <row r="37" spans="1:6">
      <c r="A37" t="s">
        <v>22</v>
      </c>
      <c r="B37" s="4" t="s">
        <v>16</v>
      </c>
      <c r="C37" s="4">
        <v>7.79</v>
      </c>
      <c r="D37" s="4">
        <v>15.5</v>
      </c>
      <c r="E37">
        <f>_xlfn.XLOOKUP(A37,Data_Cleaned!D:D,Data_Cleaned!C:C)</f>
        <v>1007</v>
      </c>
      <c r="F37" s="5">
        <f>_xlfn.XLOOKUP(A37,Data_Cleaned!D:D,Data_Cleaned!A:A)</f>
        <v>45496</v>
      </c>
    </row>
    <row r="38" spans="1:6">
      <c r="A38" t="s">
        <v>22</v>
      </c>
      <c r="B38" s="4" t="s">
        <v>16</v>
      </c>
      <c r="C38" s="4">
        <v>62.36</v>
      </c>
      <c r="D38" s="4">
        <v>99.86</v>
      </c>
      <c r="E38">
        <f>_xlfn.XLOOKUP(A38,Data_Cleaned!D:D,Data_Cleaned!C:C)</f>
        <v>1007</v>
      </c>
      <c r="F38" s="5">
        <f>_xlfn.XLOOKUP(A38,Data_Cleaned!D:D,Data_Cleaned!A:A)</f>
        <v>45496</v>
      </c>
    </row>
    <row r="39" spans="1:6">
      <c r="A39" t="s">
        <v>22</v>
      </c>
      <c r="B39" s="4" t="s">
        <v>23</v>
      </c>
      <c r="C39" s="4">
        <v>73.08</v>
      </c>
      <c r="D39" s="4">
        <v>110.58</v>
      </c>
      <c r="E39">
        <f>_xlfn.XLOOKUP(A39,Data_Cleaned!D:D,Data_Cleaned!C:C)</f>
        <v>1007</v>
      </c>
      <c r="F39" s="5">
        <f>_xlfn.XLOOKUP(A39,Data_Cleaned!D:D,Data_Cleaned!A:A)</f>
        <v>45496</v>
      </c>
    </row>
    <row r="40" spans="1:6">
      <c r="A40" t="s">
        <v>22</v>
      </c>
      <c r="B40" s="4" t="s">
        <v>21</v>
      </c>
      <c r="C40" s="4">
        <v>29.47</v>
      </c>
      <c r="D40" s="4">
        <v>44.48</v>
      </c>
      <c r="E40">
        <f>_xlfn.XLOOKUP(A40,Data_Cleaned!D:D,Data_Cleaned!C:C)</f>
        <v>1007</v>
      </c>
      <c r="F40" s="5">
        <f>_xlfn.XLOOKUP(A40,Data_Cleaned!D:D,Data_Cleaned!A:A)</f>
        <v>45496</v>
      </c>
    </row>
    <row r="41" spans="1:6">
      <c r="A41" t="s">
        <v>22</v>
      </c>
      <c r="B41" s="4" t="s">
        <v>23</v>
      </c>
      <c r="C41" s="4">
        <v>10.94</v>
      </c>
      <c r="D41" s="4">
        <v>21.88</v>
      </c>
      <c r="E41">
        <f>_xlfn.XLOOKUP(A41,Data_Cleaned!D:D,Data_Cleaned!C:C)</f>
        <v>1007</v>
      </c>
      <c r="F41" s="5">
        <f>_xlfn.XLOOKUP(A41,Data_Cleaned!D:D,Data_Cleaned!A:A)</f>
        <v>45496</v>
      </c>
    </row>
    <row r="42" spans="1:6">
      <c r="A42" t="s">
        <v>22</v>
      </c>
      <c r="B42" s="4" t="s">
        <v>21</v>
      </c>
      <c r="C42" s="4">
        <v>29.62</v>
      </c>
      <c r="D42" s="4">
        <v>90.84</v>
      </c>
      <c r="E42">
        <f>_xlfn.XLOOKUP(A42,Data_Cleaned!D:D,Data_Cleaned!C:C)</f>
        <v>1007</v>
      </c>
      <c r="F42" s="5">
        <f>_xlfn.XLOOKUP(A42,Data_Cleaned!D:D,Data_Cleaned!A:A)</f>
        <v>45496</v>
      </c>
    </row>
    <row r="43" spans="1:6">
      <c r="A43" t="s">
        <v>52</v>
      </c>
      <c r="B43" s="4" t="s">
        <v>23</v>
      </c>
      <c r="C43" s="4">
        <v>35.83</v>
      </c>
      <c r="D43" s="4">
        <v>85.52</v>
      </c>
      <c r="E43">
        <f>_xlfn.XLOOKUP(A43,Data_Cleaned!D:D,Data_Cleaned!C:C)</f>
        <v>1127</v>
      </c>
      <c r="F43" s="5">
        <f>_xlfn.XLOOKUP(A43,Data_Cleaned!D:D,Data_Cleaned!A:A)</f>
        <v>45378</v>
      </c>
    </row>
    <row r="44" spans="1:6">
      <c r="A44" t="s">
        <v>52</v>
      </c>
      <c r="B44" s="4" t="s">
        <v>16</v>
      </c>
      <c r="C44" s="4">
        <v>10</v>
      </c>
      <c r="D44" s="4">
        <v>17.24</v>
      </c>
      <c r="E44">
        <f>_xlfn.XLOOKUP(A44,Data_Cleaned!D:D,Data_Cleaned!C:C)</f>
        <v>1127</v>
      </c>
      <c r="F44" s="5">
        <f>_xlfn.XLOOKUP(A44,Data_Cleaned!D:D,Data_Cleaned!A:A)</f>
        <v>45378</v>
      </c>
    </row>
    <row r="45" spans="1:6">
      <c r="A45" t="s">
        <v>52</v>
      </c>
      <c r="B45" s="4" t="s">
        <v>10</v>
      </c>
      <c r="C45" s="4">
        <v>14.19</v>
      </c>
      <c r="D45" s="4">
        <v>37.04</v>
      </c>
      <c r="E45">
        <f>_xlfn.XLOOKUP(A45,Data_Cleaned!D:D,Data_Cleaned!C:C)</f>
        <v>1127</v>
      </c>
      <c r="F45" s="5">
        <f>_xlfn.XLOOKUP(A45,Data_Cleaned!D:D,Data_Cleaned!A:A)</f>
        <v>45378</v>
      </c>
    </row>
    <row r="46" spans="1:6">
      <c r="A46" t="s">
        <v>53</v>
      </c>
      <c r="B46" s="4" t="s">
        <v>21</v>
      </c>
      <c r="C46" s="4">
        <v>22.51</v>
      </c>
      <c r="D46" s="4">
        <v>40.16</v>
      </c>
      <c r="E46">
        <f>_xlfn.XLOOKUP(A46,Data_Cleaned!D:D,Data_Cleaned!C:C)</f>
        <v>1150</v>
      </c>
      <c r="F46" s="5">
        <f>_xlfn.XLOOKUP(A46,Data_Cleaned!D:D,Data_Cleaned!A:A)</f>
        <v>45360</v>
      </c>
    </row>
    <row r="47" spans="1:6">
      <c r="A47" t="s">
        <v>9</v>
      </c>
      <c r="B47" s="4" t="s">
        <v>10</v>
      </c>
      <c r="C47" s="4">
        <v>8.03</v>
      </c>
      <c r="D47" s="4">
        <v>15.22</v>
      </c>
      <c r="E47">
        <f>_xlfn.XLOOKUP(A47,Data_Cleaned!D:D,Data_Cleaned!C:C)</f>
        <v>1001</v>
      </c>
      <c r="F47" s="5">
        <f>_xlfn.XLOOKUP(A47,Data_Cleaned!D:D,Data_Cleaned!A:A)</f>
        <v>45619</v>
      </c>
    </row>
    <row r="48" spans="1:6">
      <c r="A48" t="s">
        <v>9</v>
      </c>
      <c r="B48" s="4" t="s">
        <v>16</v>
      </c>
      <c r="C48" s="4">
        <v>19.77</v>
      </c>
      <c r="D48" s="4">
        <v>28.69</v>
      </c>
      <c r="E48">
        <f>_xlfn.XLOOKUP(A48,Data_Cleaned!D:D,Data_Cleaned!C:C)</f>
        <v>1001</v>
      </c>
      <c r="F48" s="5">
        <f>_xlfn.XLOOKUP(A48,Data_Cleaned!D:D,Data_Cleaned!A:A)</f>
        <v>45619</v>
      </c>
    </row>
    <row r="49" spans="1:6">
      <c r="A49" t="s">
        <v>9</v>
      </c>
      <c r="B49" s="4" t="s">
        <v>16</v>
      </c>
      <c r="C49" s="4">
        <v>41.81</v>
      </c>
      <c r="D49" s="4">
        <v>102.64</v>
      </c>
      <c r="E49">
        <f>_xlfn.XLOOKUP(A49,Data_Cleaned!D:D,Data_Cleaned!C:C)</f>
        <v>1001</v>
      </c>
      <c r="F49" s="5">
        <f>_xlfn.XLOOKUP(A49,Data_Cleaned!D:D,Data_Cleaned!A:A)</f>
        <v>45619</v>
      </c>
    </row>
    <row r="50" spans="1:6">
      <c r="A50" t="s">
        <v>9</v>
      </c>
      <c r="B50" s="4" t="s">
        <v>10</v>
      </c>
      <c r="C50" s="4">
        <v>9.89</v>
      </c>
      <c r="D50" s="4">
        <v>28.69</v>
      </c>
      <c r="E50">
        <f>_xlfn.XLOOKUP(A50,Data_Cleaned!D:D,Data_Cleaned!C:C)</f>
        <v>1001</v>
      </c>
      <c r="F50" s="5">
        <f>_xlfn.XLOOKUP(A50,Data_Cleaned!D:D,Data_Cleaned!A:A)</f>
        <v>45619</v>
      </c>
    </row>
    <row r="51" spans="1:6">
      <c r="A51" t="s">
        <v>9</v>
      </c>
      <c r="B51" s="4" t="s">
        <v>21</v>
      </c>
      <c r="C51" s="4">
        <v>78.23</v>
      </c>
      <c r="D51" s="4">
        <v>118.65</v>
      </c>
      <c r="E51">
        <f>_xlfn.XLOOKUP(A51,Data_Cleaned!D:D,Data_Cleaned!C:C)</f>
        <v>1001</v>
      </c>
      <c r="F51" s="5">
        <f>_xlfn.XLOOKUP(A51,Data_Cleaned!D:D,Data_Cleaned!A:A)</f>
        <v>45619</v>
      </c>
    </row>
    <row r="52" spans="1:6">
      <c r="A52" t="s">
        <v>9</v>
      </c>
      <c r="B52" s="4" t="s">
        <v>48</v>
      </c>
      <c r="C52" s="4">
        <v>12.18</v>
      </c>
      <c r="D52" s="4">
        <v>24.27</v>
      </c>
      <c r="E52">
        <f>_xlfn.XLOOKUP(A52,Data_Cleaned!D:D,Data_Cleaned!C:C)</f>
        <v>1001</v>
      </c>
      <c r="F52" s="5">
        <f>_xlfn.XLOOKUP(A52,Data_Cleaned!D:D,Data_Cleaned!A:A)</f>
        <v>45619</v>
      </c>
    </row>
    <row r="53" spans="1:6">
      <c r="A53" t="s">
        <v>9</v>
      </c>
      <c r="B53" s="4" t="s">
        <v>21</v>
      </c>
      <c r="C53" s="4">
        <v>14.06</v>
      </c>
      <c r="D53" s="4">
        <v>33.2</v>
      </c>
      <c r="E53">
        <f>_xlfn.XLOOKUP(A53,Data_Cleaned!D:D,Data_Cleaned!C:C)</f>
        <v>1001</v>
      </c>
      <c r="F53" s="5">
        <f>_xlfn.XLOOKUP(A53,Data_Cleaned!D:D,Data_Cleaned!A:A)</f>
        <v>45619</v>
      </c>
    </row>
    <row r="54" spans="1:6">
      <c r="A54" t="s">
        <v>9</v>
      </c>
      <c r="B54" s="4" t="s">
        <v>16</v>
      </c>
      <c r="C54" s="4">
        <v>23.32</v>
      </c>
      <c r="D54" s="4">
        <v>57.81</v>
      </c>
      <c r="E54">
        <f>_xlfn.XLOOKUP(A54,Data_Cleaned!D:D,Data_Cleaned!C:C)</f>
        <v>1001</v>
      </c>
      <c r="F54" s="5">
        <f>_xlfn.XLOOKUP(A54,Data_Cleaned!D:D,Data_Cleaned!A:A)</f>
        <v>45619</v>
      </c>
    </row>
    <row r="55" spans="1:6">
      <c r="A55" t="s">
        <v>9</v>
      </c>
      <c r="B55" s="4" t="s">
        <v>21</v>
      </c>
      <c r="C55" s="4">
        <v>22.57</v>
      </c>
      <c r="D55" s="4">
        <v>69.85</v>
      </c>
      <c r="E55">
        <f>_xlfn.XLOOKUP(A55,Data_Cleaned!D:D,Data_Cleaned!C:C)</f>
        <v>1001</v>
      </c>
      <c r="F55" s="5">
        <f>_xlfn.XLOOKUP(A55,Data_Cleaned!D:D,Data_Cleaned!A:A)</f>
        <v>45619</v>
      </c>
    </row>
    <row r="56" spans="1:6">
      <c r="A56" t="s">
        <v>9</v>
      </c>
      <c r="B56" s="4" t="s">
        <v>23</v>
      </c>
      <c r="C56" s="4">
        <v>60.61</v>
      </c>
      <c r="D56" s="4">
        <v>116.38</v>
      </c>
      <c r="E56">
        <f>_xlfn.XLOOKUP(A56,Data_Cleaned!D:D,Data_Cleaned!C:C)</f>
        <v>1001</v>
      </c>
      <c r="F56" s="5">
        <f>_xlfn.XLOOKUP(A56,Data_Cleaned!D:D,Data_Cleaned!A:A)</f>
        <v>45619</v>
      </c>
    </row>
    <row r="57" spans="1:6">
      <c r="A57" t="s">
        <v>9</v>
      </c>
      <c r="B57" s="4" t="s">
        <v>23</v>
      </c>
      <c r="C57" s="4">
        <v>45.81</v>
      </c>
      <c r="D57" s="4">
        <v>64.14</v>
      </c>
      <c r="E57">
        <f>_xlfn.XLOOKUP(A57,Data_Cleaned!D:D,Data_Cleaned!C:C)</f>
        <v>1001</v>
      </c>
      <c r="F57" s="5">
        <f>_xlfn.XLOOKUP(A57,Data_Cleaned!D:D,Data_Cleaned!A:A)</f>
        <v>45619</v>
      </c>
    </row>
    <row r="58" spans="1:6">
      <c r="A58" t="s">
        <v>42</v>
      </c>
      <c r="B58" s="4" t="s">
        <v>10</v>
      </c>
      <c r="C58" s="4">
        <v>24.13</v>
      </c>
      <c r="D58" s="4">
        <v>59.51</v>
      </c>
      <c r="E58">
        <f>_xlfn.XLOOKUP(A58,Data_Cleaned!D:D,Data_Cleaned!C:C)</f>
        <v>1033</v>
      </c>
      <c r="F58" s="5">
        <f>_xlfn.XLOOKUP(A58,Data_Cleaned!D:D,Data_Cleaned!A:A)</f>
        <v>45333</v>
      </c>
    </row>
    <row r="59" spans="1:6">
      <c r="A59" t="s">
        <v>42</v>
      </c>
      <c r="B59" s="4" t="s">
        <v>23</v>
      </c>
      <c r="C59" s="4">
        <v>20.59</v>
      </c>
      <c r="D59" s="4">
        <v>42.05</v>
      </c>
      <c r="E59">
        <f>_xlfn.XLOOKUP(A59,Data_Cleaned!D:D,Data_Cleaned!C:C)</f>
        <v>1033</v>
      </c>
      <c r="F59" s="5">
        <f>_xlfn.XLOOKUP(A59,Data_Cleaned!D:D,Data_Cleaned!A:A)</f>
        <v>45333</v>
      </c>
    </row>
    <row r="60" spans="1:6">
      <c r="A60" t="s">
        <v>42</v>
      </c>
      <c r="B60" s="4" t="s">
        <v>10</v>
      </c>
      <c r="C60" s="4">
        <v>54.73</v>
      </c>
      <c r="D60" s="4">
        <v>86.54</v>
      </c>
      <c r="E60">
        <f>_xlfn.XLOOKUP(A60,Data_Cleaned!D:D,Data_Cleaned!C:C)</f>
        <v>1033</v>
      </c>
      <c r="F60" s="5">
        <f>_xlfn.XLOOKUP(A60,Data_Cleaned!D:D,Data_Cleaned!A:A)</f>
        <v>45333</v>
      </c>
    </row>
    <row r="61" spans="1:6">
      <c r="A61" t="s">
        <v>42</v>
      </c>
      <c r="B61" s="4" t="s">
        <v>16</v>
      </c>
      <c r="C61" s="4">
        <v>79.75</v>
      </c>
      <c r="D61" s="4">
        <v>119.67</v>
      </c>
      <c r="E61">
        <f>_xlfn.XLOOKUP(A61,Data_Cleaned!D:D,Data_Cleaned!C:C)</f>
        <v>1033</v>
      </c>
      <c r="F61" s="5">
        <f>_xlfn.XLOOKUP(A61,Data_Cleaned!D:D,Data_Cleaned!A:A)</f>
        <v>45333</v>
      </c>
    </row>
    <row r="62" spans="1:6">
      <c r="A62" t="s">
        <v>42</v>
      </c>
      <c r="B62" s="4" t="s">
        <v>21</v>
      </c>
      <c r="C62" s="4">
        <v>46.38</v>
      </c>
      <c r="D62" s="4">
        <v>104.81</v>
      </c>
      <c r="E62">
        <f>_xlfn.XLOOKUP(A62,Data_Cleaned!D:D,Data_Cleaned!C:C)</f>
        <v>1033</v>
      </c>
      <c r="F62" s="5">
        <f>_xlfn.XLOOKUP(A62,Data_Cleaned!D:D,Data_Cleaned!A:A)</f>
        <v>45333</v>
      </c>
    </row>
    <row r="63" spans="1:6">
      <c r="A63" t="s">
        <v>42</v>
      </c>
      <c r="B63" s="4" t="s">
        <v>21</v>
      </c>
      <c r="C63" s="4">
        <v>20.55</v>
      </c>
      <c r="D63" s="4">
        <v>58.46</v>
      </c>
      <c r="E63">
        <f>_xlfn.XLOOKUP(A63,Data_Cleaned!D:D,Data_Cleaned!C:C)</f>
        <v>1033</v>
      </c>
      <c r="F63" s="5">
        <f>_xlfn.XLOOKUP(A63,Data_Cleaned!D:D,Data_Cleaned!A:A)</f>
        <v>45333</v>
      </c>
    </row>
    <row r="64" spans="1:6">
      <c r="A64" t="s">
        <v>42</v>
      </c>
      <c r="B64" s="4" t="s">
        <v>16</v>
      </c>
      <c r="C64" s="4">
        <v>26.37</v>
      </c>
      <c r="D64" s="4">
        <v>72.25</v>
      </c>
      <c r="E64">
        <f>_xlfn.XLOOKUP(A64,Data_Cleaned!D:D,Data_Cleaned!C:C)</f>
        <v>1033</v>
      </c>
      <c r="F64" s="5">
        <f>_xlfn.XLOOKUP(A64,Data_Cleaned!D:D,Data_Cleaned!A:A)</f>
        <v>45333</v>
      </c>
    </row>
    <row r="65" spans="1:6">
      <c r="A65" t="s">
        <v>42</v>
      </c>
      <c r="B65" s="4" t="s">
        <v>10</v>
      </c>
      <c r="C65" s="4">
        <v>44.43</v>
      </c>
      <c r="D65" s="4">
        <v>109.76</v>
      </c>
      <c r="E65">
        <f>_xlfn.XLOOKUP(A65,Data_Cleaned!D:D,Data_Cleaned!C:C)</f>
        <v>1033</v>
      </c>
      <c r="F65" s="5">
        <f>_xlfn.XLOOKUP(A65,Data_Cleaned!D:D,Data_Cleaned!A:A)</f>
        <v>45333</v>
      </c>
    </row>
    <row r="66" spans="1:6">
      <c r="A66" t="s">
        <v>42</v>
      </c>
      <c r="B66" s="4" t="s">
        <v>23</v>
      </c>
      <c r="C66" s="4">
        <v>9.81</v>
      </c>
      <c r="D66" s="4">
        <v>31.43</v>
      </c>
      <c r="E66">
        <f>_xlfn.XLOOKUP(A66,Data_Cleaned!D:D,Data_Cleaned!C:C)</f>
        <v>1033</v>
      </c>
      <c r="F66" s="5">
        <f>_xlfn.XLOOKUP(A66,Data_Cleaned!D:D,Data_Cleaned!A:A)</f>
        <v>45333</v>
      </c>
    </row>
    <row r="67" spans="1:6">
      <c r="A67" t="s">
        <v>47</v>
      </c>
      <c r="B67" s="4" t="s">
        <v>10</v>
      </c>
      <c r="C67" s="4">
        <v>31.21</v>
      </c>
      <c r="D67" s="4">
        <v>50.77</v>
      </c>
      <c r="E67">
        <f>_xlfn.XLOOKUP(A67,Data_Cleaned!D:D,Data_Cleaned!C:C)</f>
        <v>1065</v>
      </c>
      <c r="F67" s="5">
        <f>_xlfn.XLOOKUP(A67,Data_Cleaned!D:D,Data_Cleaned!A:A)</f>
        <v>45435</v>
      </c>
    </row>
    <row r="68" spans="1:6">
      <c r="A68" t="s">
        <v>47</v>
      </c>
      <c r="B68" s="4" t="s">
        <v>21</v>
      </c>
      <c r="C68" s="4">
        <v>24.64</v>
      </c>
      <c r="D68" s="4">
        <v>36.22</v>
      </c>
      <c r="E68">
        <f>_xlfn.XLOOKUP(A68,Data_Cleaned!D:D,Data_Cleaned!C:C)</f>
        <v>1065</v>
      </c>
      <c r="F68" s="5">
        <f>_xlfn.XLOOKUP(A68,Data_Cleaned!D:D,Data_Cleaned!A:A)</f>
        <v>45435</v>
      </c>
    </row>
    <row r="69" spans="1:6">
      <c r="A69" t="s">
        <v>47</v>
      </c>
      <c r="B69" s="4" t="s">
        <v>21</v>
      </c>
      <c r="C69" s="4">
        <v>23.78</v>
      </c>
      <c r="D69" s="4">
        <v>36.22</v>
      </c>
      <c r="E69">
        <f>_xlfn.XLOOKUP(A69,Data_Cleaned!D:D,Data_Cleaned!C:C)</f>
        <v>1065</v>
      </c>
      <c r="F69" s="5">
        <f>_xlfn.XLOOKUP(A69,Data_Cleaned!D:D,Data_Cleaned!A:A)</f>
        <v>45435</v>
      </c>
    </row>
    <row r="70" spans="1:6">
      <c r="A70" t="s">
        <v>47</v>
      </c>
      <c r="B70" s="4" t="s">
        <v>21</v>
      </c>
      <c r="C70" s="4">
        <v>45.31</v>
      </c>
      <c r="D70" s="4">
        <v>72.53</v>
      </c>
      <c r="E70">
        <f>_xlfn.XLOOKUP(A70,Data_Cleaned!D:D,Data_Cleaned!C:C)</f>
        <v>1065</v>
      </c>
      <c r="F70" s="5">
        <f>_xlfn.XLOOKUP(A70,Data_Cleaned!D:D,Data_Cleaned!A:A)</f>
        <v>45435</v>
      </c>
    </row>
    <row r="71" spans="1:6">
      <c r="A71" t="s">
        <v>47</v>
      </c>
      <c r="B71" s="4" t="s">
        <v>10</v>
      </c>
      <c r="C71" s="4">
        <v>39.4</v>
      </c>
      <c r="D71" s="4">
        <v>96.65</v>
      </c>
      <c r="E71">
        <f>_xlfn.XLOOKUP(A71,Data_Cleaned!D:D,Data_Cleaned!C:C)</f>
        <v>1065</v>
      </c>
      <c r="F71" s="5">
        <f>_xlfn.XLOOKUP(A71,Data_Cleaned!D:D,Data_Cleaned!A:A)</f>
        <v>45435</v>
      </c>
    </row>
    <row r="72" spans="1:6">
      <c r="A72" t="s">
        <v>47</v>
      </c>
      <c r="B72" s="4" t="s">
        <v>10</v>
      </c>
      <c r="C72" s="4">
        <v>39.4</v>
      </c>
      <c r="D72" s="4">
        <v>96.65</v>
      </c>
      <c r="E72">
        <f>_xlfn.XLOOKUP(A72,Data_Cleaned!D:D,Data_Cleaned!C:C)</f>
        <v>1065</v>
      </c>
      <c r="F72" s="5">
        <f>_xlfn.XLOOKUP(A72,Data_Cleaned!D:D,Data_Cleaned!A:A)</f>
        <v>45435</v>
      </c>
    </row>
    <row r="73" spans="1:6">
      <c r="A73" t="s">
        <v>38</v>
      </c>
      <c r="B73" s="4" t="s">
        <v>23</v>
      </c>
      <c r="C73" s="4">
        <v>27.85</v>
      </c>
      <c r="D73" s="4">
        <v>87.74</v>
      </c>
      <c r="E73">
        <f>_xlfn.XLOOKUP(A73,Data_Cleaned!D:D,Data_Cleaned!C:C)</f>
        <v>1024</v>
      </c>
      <c r="F73" s="5">
        <f>_xlfn.XLOOKUP(A73,Data_Cleaned!D:D,Data_Cleaned!A:A)</f>
        <v>45527</v>
      </c>
    </row>
    <row r="74" spans="1:6">
      <c r="A74" t="s">
        <v>38</v>
      </c>
      <c r="B74" s="4" t="s">
        <v>23</v>
      </c>
      <c r="C74" s="4">
        <v>49.13</v>
      </c>
      <c r="D74" s="4">
        <v>85.15</v>
      </c>
      <c r="E74">
        <f>_xlfn.XLOOKUP(A74,Data_Cleaned!D:D,Data_Cleaned!C:C)</f>
        <v>1024</v>
      </c>
      <c r="F74" s="5">
        <f>_xlfn.XLOOKUP(A74,Data_Cleaned!D:D,Data_Cleaned!A:A)</f>
        <v>45527</v>
      </c>
    </row>
    <row r="75" spans="1:6">
      <c r="A75" t="s">
        <v>38</v>
      </c>
      <c r="B75" s="4" t="s">
        <v>23</v>
      </c>
      <c r="C75" s="4">
        <v>8.26</v>
      </c>
      <c r="D75" s="4">
        <v>14.91</v>
      </c>
      <c r="E75">
        <f>_xlfn.XLOOKUP(A75,Data_Cleaned!D:D,Data_Cleaned!C:C)</f>
        <v>1024</v>
      </c>
      <c r="F75" s="5">
        <f>_xlfn.XLOOKUP(A75,Data_Cleaned!D:D,Data_Cleaned!A:A)</f>
        <v>45527</v>
      </c>
    </row>
    <row r="76" spans="1:6">
      <c r="A76" t="s">
        <v>38</v>
      </c>
      <c r="B76" s="4" t="s">
        <v>21</v>
      </c>
      <c r="C76" s="4">
        <v>22.01</v>
      </c>
      <c r="D76" s="4">
        <v>41.66</v>
      </c>
      <c r="E76">
        <f>_xlfn.XLOOKUP(A76,Data_Cleaned!D:D,Data_Cleaned!C:C)</f>
        <v>1024</v>
      </c>
      <c r="F76" s="5">
        <f>_xlfn.XLOOKUP(A76,Data_Cleaned!D:D,Data_Cleaned!A:A)</f>
        <v>45527</v>
      </c>
    </row>
    <row r="77" spans="1:6">
      <c r="A77" t="s">
        <v>38</v>
      </c>
      <c r="B77" s="4" t="s">
        <v>50</v>
      </c>
      <c r="C77" s="4">
        <v>36.33</v>
      </c>
      <c r="D77" s="4">
        <v>62.18</v>
      </c>
      <c r="E77">
        <f>_xlfn.XLOOKUP(A77,Data_Cleaned!D:D,Data_Cleaned!C:C)</f>
        <v>1024</v>
      </c>
      <c r="F77" s="5">
        <f>_xlfn.XLOOKUP(A77,Data_Cleaned!D:D,Data_Cleaned!A:A)</f>
        <v>45527</v>
      </c>
    </row>
    <row r="78" spans="1:6">
      <c r="A78" t="s">
        <v>38</v>
      </c>
      <c r="B78" s="4" t="s">
        <v>23</v>
      </c>
      <c r="C78" s="4">
        <v>26.79</v>
      </c>
      <c r="D78" s="4">
        <v>46.4</v>
      </c>
      <c r="E78">
        <f>_xlfn.XLOOKUP(A78,Data_Cleaned!D:D,Data_Cleaned!C:C)</f>
        <v>1024</v>
      </c>
      <c r="F78" s="5">
        <f>_xlfn.XLOOKUP(A78,Data_Cleaned!D:D,Data_Cleaned!A:A)</f>
        <v>45527</v>
      </c>
    </row>
    <row r="79" spans="1:6">
      <c r="A79" t="s">
        <v>38</v>
      </c>
      <c r="B79" s="4" t="s">
        <v>21</v>
      </c>
      <c r="C79" s="4">
        <v>54.87</v>
      </c>
      <c r="D79" s="4">
        <v>94.32</v>
      </c>
      <c r="E79">
        <f>_xlfn.XLOOKUP(A79,Data_Cleaned!D:D,Data_Cleaned!C:C)</f>
        <v>1024</v>
      </c>
      <c r="F79" s="5">
        <f>_xlfn.XLOOKUP(A79,Data_Cleaned!D:D,Data_Cleaned!A:A)</f>
        <v>45527</v>
      </c>
    </row>
    <row r="80" spans="1:6">
      <c r="A80" t="s">
        <v>38</v>
      </c>
      <c r="B80" s="4" t="s">
        <v>23</v>
      </c>
      <c r="C80" s="4">
        <v>28.1</v>
      </c>
      <c r="D80" s="4">
        <v>75.15</v>
      </c>
      <c r="E80">
        <f>_xlfn.XLOOKUP(A80,Data_Cleaned!D:D,Data_Cleaned!C:C)</f>
        <v>1024</v>
      </c>
      <c r="F80" s="5">
        <f>_xlfn.XLOOKUP(A80,Data_Cleaned!D:D,Data_Cleaned!A:A)</f>
        <v>45527</v>
      </c>
    </row>
    <row r="81" spans="1:6">
      <c r="A81" t="s">
        <v>43</v>
      </c>
      <c r="B81" s="4" t="s">
        <v>10</v>
      </c>
      <c r="C81" s="4">
        <v>36.2</v>
      </c>
      <c r="D81" s="4">
        <v>116.19</v>
      </c>
      <c r="E81">
        <f>_xlfn.XLOOKUP(A81,Data_Cleaned!D:D,Data_Cleaned!C:C)</f>
        <v>1039</v>
      </c>
      <c r="F81" s="5">
        <f>_xlfn.XLOOKUP(A81,Data_Cleaned!D:D,Data_Cleaned!A:A)</f>
        <v>45484</v>
      </c>
    </row>
    <row r="82" spans="1:6">
      <c r="A82" t="s">
        <v>43</v>
      </c>
      <c r="B82" s="4" t="s">
        <v>21</v>
      </c>
      <c r="C82" s="4">
        <v>18.06</v>
      </c>
      <c r="D82" s="4">
        <v>31.45</v>
      </c>
      <c r="E82">
        <f>_xlfn.XLOOKUP(A82,Data_Cleaned!D:D,Data_Cleaned!C:C)</f>
        <v>1039</v>
      </c>
      <c r="F82" s="5">
        <f>_xlfn.XLOOKUP(A82,Data_Cleaned!D:D,Data_Cleaned!A:A)</f>
        <v>45484</v>
      </c>
    </row>
    <row r="83" spans="1:6">
      <c r="A83" t="s">
        <v>43</v>
      </c>
      <c r="B83" s="4" t="s">
        <v>10</v>
      </c>
      <c r="C83" s="4">
        <v>35.44</v>
      </c>
      <c r="D83" s="4">
        <v>116.3</v>
      </c>
      <c r="E83">
        <f>_xlfn.XLOOKUP(A83,Data_Cleaned!D:D,Data_Cleaned!C:C)</f>
        <v>1039</v>
      </c>
      <c r="F83" s="5">
        <f>_xlfn.XLOOKUP(A83,Data_Cleaned!D:D,Data_Cleaned!A:A)</f>
        <v>45484</v>
      </c>
    </row>
    <row r="84" spans="1:6">
      <c r="A84" t="s">
        <v>32</v>
      </c>
      <c r="B84" s="4" t="s">
        <v>21</v>
      </c>
      <c r="C84" s="4">
        <v>13.79</v>
      </c>
      <c r="D84" s="4">
        <v>27.14</v>
      </c>
      <c r="E84">
        <f>_xlfn.XLOOKUP(A84,Data_Cleaned!D:D,Data_Cleaned!C:C)</f>
        <v>1014</v>
      </c>
      <c r="F84" s="5">
        <f>_xlfn.XLOOKUP(A84,Data_Cleaned!D:D,Data_Cleaned!A:A)</f>
        <v>45626</v>
      </c>
    </row>
    <row r="85" spans="1:6">
      <c r="A85" t="s">
        <v>32</v>
      </c>
      <c r="B85" s="4" t="s">
        <v>23</v>
      </c>
      <c r="C85" s="4">
        <v>42.89</v>
      </c>
      <c r="D85" s="4">
        <v>107.63</v>
      </c>
      <c r="E85">
        <f>_xlfn.XLOOKUP(A85,Data_Cleaned!D:D,Data_Cleaned!C:C)</f>
        <v>1014</v>
      </c>
      <c r="F85" s="5">
        <f>_xlfn.XLOOKUP(A85,Data_Cleaned!D:D,Data_Cleaned!A:A)</f>
        <v>45626</v>
      </c>
    </row>
    <row r="86" spans="1:6">
      <c r="A86" t="s">
        <v>32</v>
      </c>
      <c r="B86" s="4" t="s">
        <v>40</v>
      </c>
      <c r="C86" s="4">
        <v>46.28</v>
      </c>
      <c r="D86" s="4">
        <v>70.13</v>
      </c>
      <c r="E86">
        <f>_xlfn.XLOOKUP(A86,Data_Cleaned!D:D,Data_Cleaned!C:C)</f>
        <v>1014</v>
      </c>
      <c r="F86" s="5">
        <f>_xlfn.XLOOKUP(A86,Data_Cleaned!D:D,Data_Cleaned!A:A)</f>
        <v>45626</v>
      </c>
    </row>
    <row r="87" spans="1:6">
      <c r="A87" t="s">
        <v>32</v>
      </c>
      <c r="B87" s="4" t="s">
        <v>21</v>
      </c>
      <c r="C87" s="4">
        <v>21.66</v>
      </c>
      <c r="D87" s="4">
        <v>51.81</v>
      </c>
      <c r="E87">
        <f>_xlfn.XLOOKUP(A87,Data_Cleaned!D:D,Data_Cleaned!C:C)</f>
        <v>1014</v>
      </c>
      <c r="F87" s="5">
        <f>_xlfn.XLOOKUP(A87,Data_Cleaned!D:D,Data_Cleaned!A:A)</f>
        <v>45626</v>
      </c>
    </row>
    <row r="88" spans="1:6">
      <c r="A88" t="s">
        <v>32</v>
      </c>
      <c r="B88" s="4" t="s">
        <v>21</v>
      </c>
      <c r="C88" s="4">
        <v>17.2</v>
      </c>
      <c r="D88" s="4">
        <v>24.31</v>
      </c>
      <c r="E88">
        <f>_xlfn.XLOOKUP(A88,Data_Cleaned!D:D,Data_Cleaned!C:C)</f>
        <v>1014</v>
      </c>
      <c r="F88" s="5">
        <f>_xlfn.XLOOKUP(A88,Data_Cleaned!D:D,Data_Cleaned!A:A)</f>
        <v>45626</v>
      </c>
    </row>
    <row r="89" spans="1:6">
      <c r="A89" t="s">
        <v>32</v>
      </c>
      <c r="B89" s="4" t="s">
        <v>21</v>
      </c>
      <c r="C89" s="4">
        <v>36.43</v>
      </c>
      <c r="D89" s="4">
        <v>65.9</v>
      </c>
      <c r="E89">
        <f>_xlfn.XLOOKUP(A89,Data_Cleaned!D:D,Data_Cleaned!C:C)</f>
        <v>1014</v>
      </c>
      <c r="F89" s="5">
        <f>_xlfn.XLOOKUP(A89,Data_Cleaned!D:D,Data_Cleaned!A:A)</f>
        <v>45626</v>
      </c>
    </row>
    <row r="90" spans="1:6">
      <c r="A90" t="s">
        <v>32</v>
      </c>
      <c r="B90" s="4" t="s">
        <v>10</v>
      </c>
      <c r="C90" s="4">
        <v>26.96</v>
      </c>
      <c r="D90" s="4">
        <v>50.8</v>
      </c>
      <c r="E90">
        <f>_xlfn.XLOOKUP(A90,Data_Cleaned!D:D,Data_Cleaned!C:C)</f>
        <v>1014</v>
      </c>
      <c r="F90" s="5">
        <f>_xlfn.XLOOKUP(A90,Data_Cleaned!D:D,Data_Cleaned!A:A)</f>
        <v>45626</v>
      </c>
    </row>
    <row r="91" spans="1:6">
      <c r="A91" t="s">
        <v>32</v>
      </c>
      <c r="B91" s="4" t="s">
        <v>21</v>
      </c>
      <c r="C91" s="4">
        <v>12.06</v>
      </c>
      <c r="D91" s="4">
        <v>17.8</v>
      </c>
      <c r="E91">
        <f>_xlfn.XLOOKUP(A91,Data_Cleaned!D:D,Data_Cleaned!C:C)</f>
        <v>1014</v>
      </c>
      <c r="F91" s="5">
        <f>_xlfn.XLOOKUP(A91,Data_Cleaned!D:D,Data_Cleaned!A:A)</f>
        <v>45626</v>
      </c>
    </row>
    <row r="92" spans="1:6">
      <c r="A92" t="s">
        <v>37</v>
      </c>
      <c r="B92" s="4" t="s">
        <v>16</v>
      </c>
      <c r="C92" s="4">
        <v>26.77</v>
      </c>
      <c r="D92" s="4">
        <v>74.91</v>
      </c>
      <c r="E92">
        <f>_xlfn.XLOOKUP(A92,Data_Cleaned!D:D,Data_Cleaned!C:C)</f>
        <v>1022</v>
      </c>
      <c r="F92" s="5">
        <f>_xlfn.XLOOKUP(A92,Data_Cleaned!D:D,Data_Cleaned!A:A)</f>
        <v>45312</v>
      </c>
    </row>
    <row r="93" spans="1:6">
      <c r="A93" t="s">
        <v>37</v>
      </c>
      <c r="B93" s="4" t="s">
        <v>21</v>
      </c>
      <c r="C93" s="4">
        <v>61.16</v>
      </c>
      <c r="D93" s="4">
        <v>102.45</v>
      </c>
      <c r="E93">
        <f>_xlfn.XLOOKUP(A93,Data_Cleaned!D:D,Data_Cleaned!C:C)</f>
        <v>1022</v>
      </c>
      <c r="F93" s="5">
        <f>_xlfn.XLOOKUP(A93,Data_Cleaned!D:D,Data_Cleaned!A:A)</f>
        <v>45312</v>
      </c>
    </row>
    <row r="94" spans="1:6">
      <c r="A94" t="s">
        <v>37</v>
      </c>
      <c r="B94" s="4" t="s">
        <v>16</v>
      </c>
      <c r="C94" s="4">
        <v>39.03</v>
      </c>
      <c r="D94" s="4">
        <v>64.16</v>
      </c>
      <c r="E94">
        <f>_xlfn.XLOOKUP(A94,Data_Cleaned!D:D,Data_Cleaned!C:C)</f>
        <v>1022</v>
      </c>
      <c r="F94" s="5">
        <f>_xlfn.XLOOKUP(A94,Data_Cleaned!D:D,Data_Cleaned!A:A)</f>
        <v>45312</v>
      </c>
    </row>
    <row r="95" spans="1:6">
      <c r="A95" t="s">
        <v>37</v>
      </c>
      <c r="B95" s="4" t="s">
        <v>10</v>
      </c>
      <c r="C95" s="4">
        <v>48.31</v>
      </c>
      <c r="D95" s="4">
        <v>90.56</v>
      </c>
      <c r="E95">
        <f>_xlfn.XLOOKUP(A95,Data_Cleaned!D:D,Data_Cleaned!C:C)</f>
        <v>1022</v>
      </c>
      <c r="F95" s="5">
        <f>_xlfn.XLOOKUP(A95,Data_Cleaned!D:D,Data_Cleaned!A:A)</f>
        <v>45312</v>
      </c>
    </row>
    <row r="96" spans="1:6">
      <c r="A96" t="s">
        <v>37</v>
      </c>
      <c r="B96" s="4" t="s">
        <v>21</v>
      </c>
      <c r="C96" s="4">
        <v>41.79</v>
      </c>
      <c r="D96" s="4">
        <v>116.13</v>
      </c>
      <c r="E96">
        <f>_xlfn.XLOOKUP(A96,Data_Cleaned!D:D,Data_Cleaned!C:C)</f>
        <v>1022</v>
      </c>
      <c r="F96" s="5">
        <f>_xlfn.XLOOKUP(A96,Data_Cleaned!D:D,Data_Cleaned!A:A)</f>
        <v>45312</v>
      </c>
    </row>
    <row r="97" spans="1:6">
      <c r="A97" t="s">
        <v>37</v>
      </c>
      <c r="B97" s="4" t="s">
        <v>10</v>
      </c>
      <c r="C97" s="4">
        <v>7.44</v>
      </c>
      <c r="D97" s="4">
        <v>22.08</v>
      </c>
      <c r="E97">
        <f>_xlfn.XLOOKUP(A97,Data_Cleaned!D:D,Data_Cleaned!C:C)</f>
        <v>1022</v>
      </c>
      <c r="F97" s="5">
        <f>_xlfn.XLOOKUP(A97,Data_Cleaned!D:D,Data_Cleaned!A:A)</f>
        <v>45312</v>
      </c>
    </row>
    <row r="98" spans="1:6">
      <c r="A98" t="s">
        <v>37</v>
      </c>
      <c r="B98" s="4" t="s">
        <v>10</v>
      </c>
      <c r="C98" s="4">
        <v>10.06</v>
      </c>
      <c r="D98" s="4">
        <v>23.15</v>
      </c>
      <c r="E98">
        <f>_xlfn.XLOOKUP(A98,Data_Cleaned!D:D,Data_Cleaned!C:C)</f>
        <v>1022</v>
      </c>
      <c r="F98" s="5">
        <f>_xlfn.XLOOKUP(A98,Data_Cleaned!D:D,Data_Cleaned!A:A)</f>
        <v>45312</v>
      </c>
    </row>
    <row r="99" spans="1:6">
      <c r="A99" t="s">
        <v>12</v>
      </c>
      <c r="B99" s="4" t="s">
        <v>21</v>
      </c>
      <c r="C99" s="4">
        <v>27.04</v>
      </c>
      <c r="D99" s="4">
        <v>42.01</v>
      </c>
      <c r="E99">
        <f>_xlfn.XLOOKUP(A99,Data_Cleaned!D:D,Data_Cleaned!C:C)</f>
        <v>1002</v>
      </c>
      <c r="F99" s="5">
        <f>_xlfn.XLOOKUP(A99,Data_Cleaned!D:D,Data_Cleaned!A:A)</f>
        <v>45624</v>
      </c>
    </row>
    <row r="100" spans="1:6">
      <c r="A100" t="s">
        <v>12</v>
      </c>
      <c r="B100" s="4" t="s">
        <v>21</v>
      </c>
      <c r="C100" s="4">
        <v>22.41</v>
      </c>
      <c r="D100" s="4">
        <v>35.51</v>
      </c>
      <c r="E100">
        <f>_xlfn.XLOOKUP(A100,Data_Cleaned!D:D,Data_Cleaned!C:C)</f>
        <v>1002</v>
      </c>
      <c r="F100" s="5">
        <f>_xlfn.XLOOKUP(A100,Data_Cleaned!D:D,Data_Cleaned!A:A)</f>
        <v>45624</v>
      </c>
    </row>
    <row r="101" spans="1:6">
      <c r="A101" t="s">
        <v>12</v>
      </c>
      <c r="B101" s="4" t="s">
        <v>21</v>
      </c>
      <c r="C101" s="4">
        <v>51.52</v>
      </c>
      <c r="D101" s="4">
        <v>71.03</v>
      </c>
      <c r="E101">
        <f>_xlfn.XLOOKUP(A101,Data_Cleaned!D:D,Data_Cleaned!C:C)</f>
        <v>1002</v>
      </c>
      <c r="F101" s="5">
        <f>_xlfn.XLOOKUP(A101,Data_Cleaned!D:D,Data_Cleaned!A:A)</f>
        <v>45624</v>
      </c>
    </row>
    <row r="102" spans="1:6">
      <c r="A102" t="s">
        <v>12</v>
      </c>
      <c r="B102" s="4" t="s">
        <v>23</v>
      </c>
      <c r="C102" s="4">
        <v>32.67</v>
      </c>
      <c r="D102" s="4">
        <v>70.8</v>
      </c>
      <c r="E102">
        <f>_xlfn.XLOOKUP(A102,Data_Cleaned!D:D,Data_Cleaned!C:C)</f>
        <v>1002</v>
      </c>
      <c r="F102" s="5">
        <f>_xlfn.XLOOKUP(A102,Data_Cleaned!D:D,Data_Cleaned!A:A)</f>
        <v>45624</v>
      </c>
    </row>
    <row r="103" spans="1:6">
      <c r="A103" t="s">
        <v>12</v>
      </c>
      <c r="B103" s="4" t="s">
        <v>10</v>
      </c>
      <c r="C103" s="4">
        <v>18.98</v>
      </c>
      <c r="D103" s="4">
        <v>45.76</v>
      </c>
      <c r="E103">
        <f>_xlfn.XLOOKUP(A103,Data_Cleaned!D:D,Data_Cleaned!C:C)</f>
        <v>1002</v>
      </c>
      <c r="F103" s="5">
        <f>_xlfn.XLOOKUP(A103,Data_Cleaned!D:D,Data_Cleaned!A:A)</f>
        <v>45624</v>
      </c>
    </row>
    <row r="104" spans="1:6">
      <c r="A104" t="s">
        <v>12</v>
      </c>
      <c r="B104" s="4" t="s">
        <v>16</v>
      </c>
      <c r="C104" s="4">
        <v>21.47</v>
      </c>
      <c r="D104" s="4">
        <v>42.77</v>
      </c>
      <c r="E104">
        <f>_xlfn.XLOOKUP(A104,Data_Cleaned!D:D,Data_Cleaned!C:C)</f>
        <v>1002</v>
      </c>
      <c r="F104" s="5">
        <f>_xlfn.XLOOKUP(A104,Data_Cleaned!D:D,Data_Cleaned!A:A)</f>
        <v>45624</v>
      </c>
    </row>
    <row r="105" spans="1:6">
      <c r="A105" t="s">
        <v>12</v>
      </c>
      <c r="B105" s="4" t="s">
        <v>10</v>
      </c>
      <c r="C105" s="4">
        <v>54.77</v>
      </c>
      <c r="D105" s="4">
        <v>117.34</v>
      </c>
      <c r="E105">
        <f>_xlfn.XLOOKUP(A105,Data_Cleaned!D:D,Data_Cleaned!C:C)</f>
        <v>1002</v>
      </c>
      <c r="F105" s="5">
        <f>_xlfn.XLOOKUP(A105,Data_Cleaned!D:D,Data_Cleaned!A:A)</f>
        <v>45624</v>
      </c>
    </row>
    <row r="106" spans="1:6">
      <c r="A106" t="s">
        <v>12</v>
      </c>
      <c r="B106" s="4" t="s">
        <v>21</v>
      </c>
      <c r="C106" s="4">
        <v>12.65</v>
      </c>
      <c r="D106" s="4">
        <v>33.83</v>
      </c>
      <c r="E106">
        <f>_xlfn.XLOOKUP(A106,Data_Cleaned!D:D,Data_Cleaned!C:C)</f>
        <v>1002</v>
      </c>
      <c r="F106" s="5">
        <f>_xlfn.XLOOKUP(A106,Data_Cleaned!D:D,Data_Cleaned!A:A)</f>
        <v>45624</v>
      </c>
    </row>
    <row r="107" spans="1:6">
      <c r="A107" t="s">
        <v>12</v>
      </c>
      <c r="B107" s="4" t="s">
        <v>10</v>
      </c>
      <c r="C107" s="4">
        <v>20.85</v>
      </c>
      <c r="D107" s="4">
        <v>37.29</v>
      </c>
      <c r="E107">
        <f>_xlfn.XLOOKUP(A107,Data_Cleaned!D:D,Data_Cleaned!C:C)</f>
        <v>1002</v>
      </c>
      <c r="F107" s="5">
        <f>_xlfn.XLOOKUP(A107,Data_Cleaned!D:D,Data_Cleaned!A:A)</f>
        <v>45624</v>
      </c>
    </row>
    <row r="108" spans="1:6">
      <c r="A108" t="s">
        <v>12</v>
      </c>
      <c r="B108" s="4" t="s">
        <v>10</v>
      </c>
      <c r="C108" s="4">
        <v>44.26</v>
      </c>
      <c r="D108" s="4">
        <v>94.04</v>
      </c>
      <c r="E108">
        <f>_xlfn.XLOOKUP(A108,Data_Cleaned!D:D,Data_Cleaned!C:C)</f>
        <v>1002</v>
      </c>
      <c r="F108" s="5">
        <f>_xlfn.XLOOKUP(A108,Data_Cleaned!D:D,Data_Cleaned!A:A)</f>
        <v>45624</v>
      </c>
    </row>
    <row r="109" spans="1:6">
      <c r="A109" t="s">
        <v>12</v>
      </c>
      <c r="B109" s="4" t="s">
        <v>23</v>
      </c>
      <c r="C109" s="4">
        <v>34.35</v>
      </c>
      <c r="D109" s="4">
        <v>99.34</v>
      </c>
      <c r="E109">
        <f>_xlfn.XLOOKUP(A109,Data_Cleaned!D:D,Data_Cleaned!C:C)</f>
        <v>1002</v>
      </c>
      <c r="F109" s="5">
        <f>_xlfn.XLOOKUP(A109,Data_Cleaned!D:D,Data_Cleaned!A:A)</f>
        <v>45624</v>
      </c>
    </row>
    <row r="110" spans="1:6">
      <c r="A110" t="s">
        <v>12</v>
      </c>
      <c r="B110" s="4" t="s">
        <v>16</v>
      </c>
      <c r="C110" s="4">
        <v>6.72</v>
      </c>
      <c r="D110" s="4">
        <v>18.73</v>
      </c>
      <c r="E110">
        <f>_xlfn.XLOOKUP(A110,Data_Cleaned!D:D,Data_Cleaned!C:C)</f>
        <v>1002</v>
      </c>
      <c r="F110" s="5">
        <f>_xlfn.XLOOKUP(A110,Data_Cleaned!D:D,Data_Cleaned!A:A)</f>
        <v>45624</v>
      </c>
    </row>
    <row r="111" spans="1:6">
      <c r="A111" t="s">
        <v>44</v>
      </c>
      <c r="B111" s="4" t="s">
        <v>16</v>
      </c>
      <c r="C111" s="4">
        <v>18.39</v>
      </c>
      <c r="D111" s="4">
        <v>31.02</v>
      </c>
      <c r="E111">
        <f>_xlfn.XLOOKUP(A111,Data_Cleaned!D:D,Data_Cleaned!C:C)</f>
        <v>1041</v>
      </c>
      <c r="F111" s="5">
        <f>_xlfn.XLOOKUP(A111,Data_Cleaned!D:D,Data_Cleaned!A:A)</f>
        <v>45539</v>
      </c>
    </row>
    <row r="112" spans="1:6">
      <c r="A112" t="s">
        <v>44</v>
      </c>
      <c r="B112" s="4" t="s">
        <v>23</v>
      </c>
      <c r="C112" s="4">
        <v>28.61</v>
      </c>
      <c r="D112" s="4">
        <v>39.04</v>
      </c>
      <c r="E112">
        <f>_xlfn.XLOOKUP(A112,Data_Cleaned!D:D,Data_Cleaned!C:C)</f>
        <v>1041</v>
      </c>
      <c r="F112" s="5">
        <f>_xlfn.XLOOKUP(A112,Data_Cleaned!D:D,Data_Cleaned!A:A)</f>
        <v>45539</v>
      </c>
    </row>
    <row r="113" spans="1:6">
      <c r="A113" t="s">
        <v>44</v>
      </c>
      <c r="B113" s="4" t="s">
        <v>16</v>
      </c>
      <c r="C113" s="4">
        <v>32</v>
      </c>
      <c r="D113" s="4">
        <v>75</v>
      </c>
      <c r="E113">
        <f>_xlfn.XLOOKUP(A113,Data_Cleaned!D:D,Data_Cleaned!C:C)</f>
        <v>1041</v>
      </c>
      <c r="F113" s="5">
        <f>_xlfn.XLOOKUP(A113,Data_Cleaned!D:D,Data_Cleaned!A:A)</f>
        <v>45539</v>
      </c>
    </row>
    <row r="114" spans="1:6">
      <c r="A114" t="s">
        <v>44</v>
      </c>
      <c r="B114" s="4" t="s">
        <v>23</v>
      </c>
      <c r="C114" s="4">
        <v>29.17</v>
      </c>
      <c r="D114" s="4">
        <v>73.06</v>
      </c>
      <c r="E114">
        <f>_xlfn.XLOOKUP(A114,Data_Cleaned!D:D,Data_Cleaned!C:C)</f>
        <v>1041</v>
      </c>
      <c r="F114" s="5">
        <f>_xlfn.XLOOKUP(A114,Data_Cleaned!D:D,Data_Cleaned!A:A)</f>
        <v>45539</v>
      </c>
    </row>
    <row r="115" spans="1:6">
      <c r="A115" t="s">
        <v>44</v>
      </c>
      <c r="B115" s="4" t="s">
        <v>23</v>
      </c>
      <c r="C115" s="4">
        <v>29.17</v>
      </c>
      <c r="D115" s="4">
        <v>73.06</v>
      </c>
      <c r="E115">
        <f>_xlfn.XLOOKUP(A115,Data_Cleaned!D:D,Data_Cleaned!C:C)</f>
        <v>1041</v>
      </c>
      <c r="F115" s="5">
        <f>_xlfn.XLOOKUP(A115,Data_Cleaned!D:D,Data_Cleaned!A:A)</f>
        <v>45539</v>
      </c>
    </row>
    <row r="116" spans="1:6">
      <c r="A116" t="s">
        <v>44</v>
      </c>
      <c r="B116" s="4" t="s">
        <v>10</v>
      </c>
      <c r="C116" s="4">
        <v>27.5</v>
      </c>
      <c r="D116" s="4">
        <v>80.43</v>
      </c>
      <c r="E116">
        <f>_xlfn.XLOOKUP(A116,Data_Cleaned!D:D,Data_Cleaned!C:C)</f>
        <v>1041</v>
      </c>
      <c r="F116" s="5">
        <f>_xlfn.XLOOKUP(A116,Data_Cleaned!D:D,Data_Cleaned!A:A)</f>
        <v>45539</v>
      </c>
    </row>
    <row r="117" spans="1:6">
      <c r="A117" t="s">
        <v>44</v>
      </c>
      <c r="B117" s="4" t="s">
        <v>10</v>
      </c>
      <c r="C117" s="4">
        <v>8.55</v>
      </c>
      <c r="D117" s="4">
        <v>14.58</v>
      </c>
      <c r="E117">
        <f>_xlfn.XLOOKUP(A117,Data_Cleaned!D:D,Data_Cleaned!C:C)</f>
        <v>1041</v>
      </c>
      <c r="F117" s="5">
        <f>_xlfn.XLOOKUP(A117,Data_Cleaned!D:D,Data_Cleaned!A:A)</f>
        <v>45539</v>
      </c>
    </row>
    <row r="118" spans="1:6">
      <c r="A118" t="s">
        <v>26</v>
      </c>
      <c r="B118" s="4" t="s">
        <v>16</v>
      </c>
      <c r="C118" s="4">
        <v>21.06</v>
      </c>
      <c r="D118" s="4">
        <v>29.45</v>
      </c>
      <c r="E118">
        <f>_xlfn.XLOOKUP(A118,Data_Cleaned!D:D,Data_Cleaned!C:C)</f>
        <v>1009</v>
      </c>
      <c r="F118" s="5">
        <f>_xlfn.XLOOKUP(A118,Data_Cleaned!D:D,Data_Cleaned!A:A)</f>
        <v>45426</v>
      </c>
    </row>
    <row r="119" spans="1:6">
      <c r="A119" t="s">
        <v>26</v>
      </c>
      <c r="B119" s="4" t="s">
        <v>16</v>
      </c>
      <c r="C119" s="4">
        <v>25.72</v>
      </c>
      <c r="D119" s="4">
        <v>40.56</v>
      </c>
      <c r="E119">
        <f>_xlfn.XLOOKUP(A119,Data_Cleaned!D:D,Data_Cleaned!C:C)</f>
        <v>1009</v>
      </c>
      <c r="F119" s="5">
        <f>_xlfn.XLOOKUP(A119,Data_Cleaned!D:D,Data_Cleaned!A:A)</f>
        <v>45426</v>
      </c>
    </row>
    <row r="120" spans="1:6">
      <c r="A120" t="s">
        <v>26</v>
      </c>
      <c r="B120" s="4" t="s">
        <v>21</v>
      </c>
      <c r="C120" s="4">
        <v>15.74</v>
      </c>
      <c r="D120" s="4">
        <v>27.62</v>
      </c>
      <c r="E120">
        <f>_xlfn.XLOOKUP(A120,Data_Cleaned!D:D,Data_Cleaned!C:C)</f>
        <v>1009</v>
      </c>
      <c r="F120" s="5">
        <f>_xlfn.XLOOKUP(A120,Data_Cleaned!D:D,Data_Cleaned!A:A)</f>
        <v>45426</v>
      </c>
    </row>
    <row r="121" spans="1:6">
      <c r="A121" t="s">
        <v>26</v>
      </c>
      <c r="B121" s="4" t="s">
        <v>23</v>
      </c>
      <c r="C121" s="4">
        <v>29</v>
      </c>
      <c r="D121" s="4">
        <v>57.34</v>
      </c>
      <c r="E121">
        <f>_xlfn.XLOOKUP(A121,Data_Cleaned!D:D,Data_Cleaned!C:C)</f>
        <v>1009</v>
      </c>
      <c r="F121" s="5">
        <f>_xlfn.XLOOKUP(A121,Data_Cleaned!D:D,Data_Cleaned!A:A)</f>
        <v>45426</v>
      </c>
    </row>
    <row r="122" spans="1:6">
      <c r="A122" t="s">
        <v>26</v>
      </c>
      <c r="B122" s="4" t="s">
        <v>16</v>
      </c>
      <c r="C122" s="4">
        <v>30.63</v>
      </c>
      <c r="D122" s="4">
        <v>92.71</v>
      </c>
      <c r="E122">
        <f>_xlfn.XLOOKUP(A122,Data_Cleaned!D:D,Data_Cleaned!C:C)</f>
        <v>1009</v>
      </c>
      <c r="F122" s="5">
        <f>_xlfn.XLOOKUP(A122,Data_Cleaned!D:D,Data_Cleaned!A:A)</f>
        <v>45426</v>
      </c>
    </row>
    <row r="123" spans="1:6">
      <c r="A123" t="s">
        <v>26</v>
      </c>
      <c r="B123" s="4" t="s">
        <v>23</v>
      </c>
      <c r="C123" s="4">
        <v>3.88</v>
      </c>
      <c r="D123" s="4">
        <v>12.71</v>
      </c>
      <c r="E123">
        <f>_xlfn.XLOOKUP(A123,Data_Cleaned!D:D,Data_Cleaned!C:C)</f>
        <v>1009</v>
      </c>
      <c r="F123" s="5">
        <f>_xlfn.XLOOKUP(A123,Data_Cleaned!D:D,Data_Cleaned!A:A)</f>
        <v>45426</v>
      </c>
    </row>
    <row r="124" spans="1:6">
      <c r="A124" t="s">
        <v>29</v>
      </c>
      <c r="B124" s="4" t="s">
        <v>10</v>
      </c>
      <c r="C124" s="4">
        <v>42.68</v>
      </c>
      <c r="D124" s="4">
        <v>104.84</v>
      </c>
      <c r="E124">
        <f>_xlfn.XLOOKUP(A124,Data_Cleaned!D:D,Data_Cleaned!C:C)</f>
        <v>1012</v>
      </c>
      <c r="F124" s="5">
        <f>_xlfn.XLOOKUP(A124,Data_Cleaned!D:D,Data_Cleaned!A:A)</f>
        <v>45407</v>
      </c>
    </row>
    <row r="125" spans="1:6">
      <c r="A125" t="s">
        <v>29</v>
      </c>
      <c r="B125" s="4" t="s">
        <v>16</v>
      </c>
      <c r="C125" s="4">
        <v>45.18</v>
      </c>
      <c r="D125" s="4">
        <v>63.99</v>
      </c>
      <c r="E125">
        <f>_xlfn.XLOOKUP(A125,Data_Cleaned!D:D,Data_Cleaned!C:C)</f>
        <v>1012</v>
      </c>
      <c r="F125" s="5">
        <f>_xlfn.XLOOKUP(A125,Data_Cleaned!D:D,Data_Cleaned!A:A)</f>
        <v>45407</v>
      </c>
    </row>
    <row r="126" spans="1:6">
      <c r="A126" t="s">
        <v>29</v>
      </c>
      <c r="B126" s="4" t="s">
        <v>23</v>
      </c>
      <c r="C126" s="4">
        <v>47.86</v>
      </c>
      <c r="D126" s="4">
        <v>73.75</v>
      </c>
      <c r="E126">
        <f>_xlfn.XLOOKUP(A126,Data_Cleaned!D:D,Data_Cleaned!C:C)</f>
        <v>1012</v>
      </c>
      <c r="F126" s="5">
        <f>_xlfn.XLOOKUP(A126,Data_Cleaned!D:D,Data_Cleaned!A:A)</f>
        <v>45407</v>
      </c>
    </row>
    <row r="127" spans="1:6">
      <c r="A127" t="s">
        <v>29</v>
      </c>
      <c r="B127" s="4" t="s">
        <v>16</v>
      </c>
      <c r="C127" s="4">
        <v>39.81</v>
      </c>
      <c r="D127" s="4">
        <v>87.89</v>
      </c>
      <c r="E127">
        <f>_xlfn.XLOOKUP(A127,Data_Cleaned!D:D,Data_Cleaned!C:C)</f>
        <v>1012</v>
      </c>
      <c r="F127" s="5">
        <f>_xlfn.XLOOKUP(A127,Data_Cleaned!D:D,Data_Cleaned!A:A)</f>
        <v>45407</v>
      </c>
    </row>
    <row r="128" spans="1:6">
      <c r="A128" t="s">
        <v>29</v>
      </c>
      <c r="B128" s="4" t="s">
        <v>16</v>
      </c>
      <c r="C128" s="4">
        <v>18.46</v>
      </c>
      <c r="D128" s="4">
        <v>27.57</v>
      </c>
      <c r="E128">
        <f>_xlfn.XLOOKUP(A128,Data_Cleaned!D:D,Data_Cleaned!C:C)</f>
        <v>1012</v>
      </c>
      <c r="F128" s="5">
        <f>_xlfn.XLOOKUP(A128,Data_Cleaned!D:D,Data_Cleaned!A:A)</f>
        <v>45407</v>
      </c>
    </row>
    <row r="129" spans="1:6">
      <c r="A129" t="s">
        <v>29</v>
      </c>
      <c r="B129" s="4" t="s">
        <v>23</v>
      </c>
      <c r="C129" s="4">
        <v>20.29</v>
      </c>
      <c r="D129" s="4">
        <v>47.04</v>
      </c>
      <c r="E129">
        <f>_xlfn.XLOOKUP(A129,Data_Cleaned!D:D,Data_Cleaned!C:C)</f>
        <v>1012</v>
      </c>
      <c r="F129" s="5">
        <f>_xlfn.XLOOKUP(A129,Data_Cleaned!D:D,Data_Cleaned!A:A)</f>
        <v>45407</v>
      </c>
    </row>
    <row r="130" spans="1:6">
      <c r="A130" t="s">
        <v>31</v>
      </c>
      <c r="B130" s="4" t="s">
        <v>23</v>
      </c>
      <c r="C130" s="4">
        <v>40.34</v>
      </c>
      <c r="D130" s="4">
        <v>83.17</v>
      </c>
      <c r="E130">
        <f>_xlfn.XLOOKUP(A130,Data_Cleaned!D:D,Data_Cleaned!C:C)</f>
        <v>1013</v>
      </c>
      <c r="F130" s="5">
        <f>_xlfn.XLOOKUP(A130,Data_Cleaned!D:D,Data_Cleaned!A:A)</f>
        <v>45359</v>
      </c>
    </row>
    <row r="131" spans="1:6">
      <c r="A131" t="s">
        <v>31</v>
      </c>
      <c r="B131" s="4" t="s">
        <v>21</v>
      </c>
      <c r="C131" s="4">
        <v>22.03</v>
      </c>
      <c r="D131" s="4">
        <v>38.34</v>
      </c>
      <c r="E131">
        <f>_xlfn.XLOOKUP(A131,Data_Cleaned!D:D,Data_Cleaned!C:C)</f>
        <v>1013</v>
      </c>
      <c r="F131" s="5">
        <f>_xlfn.XLOOKUP(A131,Data_Cleaned!D:D,Data_Cleaned!A:A)</f>
        <v>45359</v>
      </c>
    </row>
    <row r="132" spans="1:6">
      <c r="A132" t="s">
        <v>31</v>
      </c>
      <c r="B132" s="4" t="s">
        <v>10</v>
      </c>
      <c r="C132" s="4">
        <v>44.23</v>
      </c>
      <c r="D132" s="4">
        <v>73.63</v>
      </c>
      <c r="E132">
        <f>_xlfn.XLOOKUP(A132,Data_Cleaned!D:D,Data_Cleaned!C:C)</f>
        <v>1013</v>
      </c>
      <c r="F132" s="5">
        <f>_xlfn.XLOOKUP(A132,Data_Cleaned!D:D,Data_Cleaned!A:A)</f>
        <v>45359</v>
      </c>
    </row>
    <row r="133" spans="1:6">
      <c r="A133" t="s">
        <v>31</v>
      </c>
      <c r="B133" s="4" t="s">
        <v>10</v>
      </c>
      <c r="C133" s="4">
        <v>5.54</v>
      </c>
      <c r="D133" s="4">
        <v>16.45</v>
      </c>
      <c r="E133">
        <f>_xlfn.XLOOKUP(A133,Data_Cleaned!D:D,Data_Cleaned!C:C)</f>
        <v>1013</v>
      </c>
      <c r="F133" s="5">
        <f>_xlfn.XLOOKUP(A133,Data_Cleaned!D:D,Data_Cleaned!A:A)</f>
        <v>45359</v>
      </c>
    </row>
    <row r="134" spans="1:6">
      <c r="A134" t="s">
        <v>31</v>
      </c>
      <c r="B134" s="4" t="s">
        <v>16</v>
      </c>
      <c r="C134" s="4">
        <v>24.73</v>
      </c>
      <c r="D134" s="4">
        <v>68.63</v>
      </c>
      <c r="E134">
        <f>_xlfn.XLOOKUP(A134,Data_Cleaned!D:D,Data_Cleaned!C:C)</f>
        <v>1013</v>
      </c>
      <c r="F134" s="5">
        <f>_xlfn.XLOOKUP(A134,Data_Cleaned!D:D,Data_Cleaned!A:A)</f>
        <v>45359</v>
      </c>
    </row>
    <row r="135" spans="1:6">
      <c r="A135" t="s">
        <v>31</v>
      </c>
      <c r="B135" s="4" t="s">
        <v>10</v>
      </c>
      <c r="C135" s="4">
        <v>11.78</v>
      </c>
      <c r="D135" s="4">
        <v>27.76</v>
      </c>
      <c r="E135">
        <f>_xlfn.XLOOKUP(A135,Data_Cleaned!D:D,Data_Cleaned!C:C)</f>
        <v>1013</v>
      </c>
      <c r="F135" s="5">
        <f>_xlfn.XLOOKUP(A135,Data_Cleaned!D:D,Data_Cleaned!A:A)</f>
        <v>45359</v>
      </c>
    </row>
    <row r="136" spans="1:6">
      <c r="A136" t="s">
        <v>31</v>
      </c>
      <c r="B136" s="4" t="s">
        <v>23</v>
      </c>
      <c r="C136" s="4">
        <v>77.59</v>
      </c>
      <c r="D136" s="4">
        <v>116.59</v>
      </c>
      <c r="E136">
        <f>_xlfn.XLOOKUP(A136,Data_Cleaned!D:D,Data_Cleaned!C:C)</f>
        <v>1013</v>
      </c>
      <c r="F136" s="5">
        <f>_xlfn.XLOOKUP(A136,Data_Cleaned!D:D,Data_Cleaned!A:A)</f>
        <v>45359</v>
      </c>
    </row>
    <row r="137" spans="1:6">
      <c r="A137" t="s">
        <v>31</v>
      </c>
      <c r="B137" s="4" t="s">
        <v>16</v>
      </c>
      <c r="C137" s="4">
        <v>54.99</v>
      </c>
      <c r="D137" s="4">
        <v>80.56</v>
      </c>
      <c r="E137">
        <f>_xlfn.XLOOKUP(A137,Data_Cleaned!D:D,Data_Cleaned!C:C)</f>
        <v>1013</v>
      </c>
      <c r="F137" s="5">
        <f>_xlfn.XLOOKUP(A137,Data_Cleaned!D:D,Data_Cleaned!A:A)</f>
        <v>45359</v>
      </c>
    </row>
    <row r="138" spans="1:6">
      <c r="A138" t="s">
        <v>28</v>
      </c>
      <c r="B138" s="4" t="s">
        <v>23</v>
      </c>
      <c r="C138" s="4">
        <v>59.4</v>
      </c>
      <c r="D138" s="4">
        <v>119.48</v>
      </c>
      <c r="E138">
        <f>_xlfn.XLOOKUP(A138,Data_Cleaned!D:D,Data_Cleaned!C:C)</f>
        <v>1011</v>
      </c>
      <c r="F138" s="5">
        <f>_xlfn.XLOOKUP(A138,Data_Cleaned!D:D,Data_Cleaned!A:A)</f>
        <v>45573</v>
      </c>
    </row>
    <row r="139" spans="1:6">
      <c r="A139" t="s">
        <v>28</v>
      </c>
      <c r="B139" s="4" t="s">
        <v>16</v>
      </c>
      <c r="C139" s="4">
        <v>31.52</v>
      </c>
      <c r="D139" s="4">
        <v>83.33</v>
      </c>
      <c r="E139">
        <f>_xlfn.XLOOKUP(A139,Data_Cleaned!D:D,Data_Cleaned!C:C)</f>
        <v>1011</v>
      </c>
      <c r="F139" s="5">
        <f>_xlfn.XLOOKUP(A139,Data_Cleaned!D:D,Data_Cleaned!A:A)</f>
        <v>45573</v>
      </c>
    </row>
    <row r="140" spans="1:6">
      <c r="A140" t="s">
        <v>28</v>
      </c>
      <c r="B140" s="4" t="s">
        <v>23</v>
      </c>
      <c r="C140" s="4">
        <v>7.85</v>
      </c>
      <c r="D140" s="4">
        <v>18.41</v>
      </c>
      <c r="E140">
        <f>_xlfn.XLOOKUP(A140,Data_Cleaned!D:D,Data_Cleaned!C:C)</f>
        <v>1011</v>
      </c>
      <c r="F140" s="5">
        <f>_xlfn.XLOOKUP(A140,Data_Cleaned!D:D,Data_Cleaned!A:A)</f>
        <v>45573</v>
      </c>
    </row>
    <row r="141" spans="1:6">
      <c r="A141" t="s">
        <v>36</v>
      </c>
      <c r="B141" s="4" t="s">
        <v>21</v>
      </c>
      <c r="C141" s="4">
        <v>45.72</v>
      </c>
      <c r="D141" s="4">
        <v>101.57</v>
      </c>
      <c r="E141">
        <f>_xlfn.XLOOKUP(A141,Data_Cleaned!D:D,Data_Cleaned!C:C)</f>
        <v>1021</v>
      </c>
      <c r="F141" s="5">
        <f>_xlfn.XLOOKUP(A141,Data_Cleaned!D:D,Data_Cleaned!A:A)</f>
        <v>45374</v>
      </c>
    </row>
    <row r="142" spans="1:6">
      <c r="A142" t="s">
        <v>36</v>
      </c>
      <c r="B142" s="4" t="s">
        <v>21</v>
      </c>
      <c r="C142" s="4">
        <v>40.19</v>
      </c>
      <c r="D142" s="4">
        <v>80.44</v>
      </c>
      <c r="E142">
        <f>_xlfn.XLOOKUP(A142,Data_Cleaned!D:D,Data_Cleaned!C:C)</f>
        <v>1021</v>
      </c>
      <c r="F142" s="5">
        <f>_xlfn.XLOOKUP(A142,Data_Cleaned!D:D,Data_Cleaned!A:A)</f>
        <v>45374</v>
      </c>
    </row>
    <row r="143" spans="1:6">
      <c r="A143" t="s">
        <v>36</v>
      </c>
      <c r="B143" s="4" t="s">
        <v>23</v>
      </c>
      <c r="C143" s="4">
        <v>28.55</v>
      </c>
      <c r="D143" s="4">
        <v>61.69</v>
      </c>
      <c r="E143">
        <f>_xlfn.XLOOKUP(A143,Data_Cleaned!D:D,Data_Cleaned!C:C)</f>
        <v>1021</v>
      </c>
      <c r="F143" s="5">
        <f>_xlfn.XLOOKUP(A143,Data_Cleaned!D:D,Data_Cleaned!A:A)</f>
        <v>45374</v>
      </c>
    </row>
    <row r="144" spans="1:6">
      <c r="A144" t="s">
        <v>36</v>
      </c>
      <c r="B144" s="4" t="s">
        <v>16</v>
      </c>
      <c r="C144" s="4">
        <v>65.09</v>
      </c>
      <c r="D144" s="4">
        <v>91.8</v>
      </c>
      <c r="E144">
        <f>_xlfn.XLOOKUP(A144,Data_Cleaned!D:D,Data_Cleaned!C:C)</f>
        <v>1021</v>
      </c>
      <c r="F144" s="5">
        <f>_xlfn.XLOOKUP(A144,Data_Cleaned!D:D,Data_Cleaned!A:A)</f>
        <v>45374</v>
      </c>
    </row>
    <row r="145" spans="1:6">
      <c r="A145" t="s">
        <v>36</v>
      </c>
      <c r="B145" s="4" t="s">
        <v>21</v>
      </c>
      <c r="C145" s="4">
        <v>48.78</v>
      </c>
      <c r="D145" s="4">
        <v>84.84</v>
      </c>
      <c r="E145">
        <f>_xlfn.XLOOKUP(A145,Data_Cleaned!D:D,Data_Cleaned!C:C)</f>
        <v>1021</v>
      </c>
      <c r="F145" s="5">
        <f>_xlfn.XLOOKUP(A145,Data_Cleaned!D:D,Data_Cleaned!A:A)</f>
        <v>45374</v>
      </c>
    </row>
    <row r="146" spans="1:6">
      <c r="A146" t="s">
        <v>36</v>
      </c>
      <c r="B146" s="4" t="s">
        <v>23</v>
      </c>
      <c r="C146" s="4">
        <v>66.29</v>
      </c>
      <c r="D146" s="4">
        <v>114.47</v>
      </c>
      <c r="E146">
        <f>_xlfn.XLOOKUP(A146,Data_Cleaned!D:D,Data_Cleaned!C:C)</f>
        <v>1021</v>
      </c>
      <c r="F146" s="5">
        <f>_xlfn.XLOOKUP(A146,Data_Cleaned!D:D,Data_Cleaned!A:A)</f>
        <v>45374</v>
      </c>
    </row>
    <row r="147" spans="1:6">
      <c r="A147" t="s">
        <v>36</v>
      </c>
      <c r="B147" s="4" t="s">
        <v>10</v>
      </c>
      <c r="C147" s="4">
        <v>50.09</v>
      </c>
      <c r="D147" s="4">
        <v>116.17</v>
      </c>
      <c r="E147">
        <f>_xlfn.XLOOKUP(A147,Data_Cleaned!D:D,Data_Cleaned!C:C)</f>
        <v>1021</v>
      </c>
      <c r="F147" s="5">
        <f>_xlfn.XLOOKUP(A147,Data_Cleaned!D:D,Data_Cleaned!A:A)</f>
        <v>45374</v>
      </c>
    </row>
    <row r="148" spans="1:6">
      <c r="A148" t="s">
        <v>36</v>
      </c>
      <c r="B148" s="4" t="s">
        <v>10</v>
      </c>
      <c r="C148" s="4">
        <v>57.47</v>
      </c>
      <c r="D148" s="4">
        <v>78.9</v>
      </c>
      <c r="E148">
        <f>_xlfn.XLOOKUP(A148,Data_Cleaned!D:D,Data_Cleaned!C:C)</f>
        <v>1021</v>
      </c>
      <c r="F148" s="5">
        <f>_xlfn.XLOOKUP(A148,Data_Cleaned!D:D,Data_Cleaned!A:A)</f>
        <v>45374</v>
      </c>
    </row>
    <row r="149" spans="1:6">
      <c r="A149" t="s">
        <v>34</v>
      </c>
      <c r="B149" s="4" t="s">
        <v>21</v>
      </c>
      <c r="C149" s="4">
        <v>13.22</v>
      </c>
      <c r="D149" s="4">
        <v>26.13</v>
      </c>
      <c r="E149">
        <f>_xlfn.XLOOKUP(A149,Data_Cleaned!D:D,Data_Cleaned!C:C)</f>
        <v>1018</v>
      </c>
      <c r="F149" s="5">
        <f>_xlfn.XLOOKUP(A149,Data_Cleaned!D:D,Data_Cleaned!A:A)</f>
        <v>45296</v>
      </c>
    </row>
    <row r="150" spans="1:6">
      <c r="A150" t="s">
        <v>34</v>
      </c>
      <c r="B150" s="4" t="s">
        <v>16</v>
      </c>
      <c r="C150" s="4">
        <v>45.49</v>
      </c>
      <c r="D150" s="4">
        <v>77.56</v>
      </c>
      <c r="E150">
        <f>_xlfn.XLOOKUP(A150,Data_Cleaned!D:D,Data_Cleaned!C:C)</f>
        <v>1018</v>
      </c>
      <c r="F150" s="5">
        <f>_xlfn.XLOOKUP(A150,Data_Cleaned!D:D,Data_Cleaned!A:A)</f>
        <v>45296</v>
      </c>
    </row>
    <row r="151" spans="1:6">
      <c r="A151" t="s">
        <v>34</v>
      </c>
      <c r="B151" s="4" t="s">
        <v>23</v>
      </c>
      <c r="C151" s="4">
        <v>76.86</v>
      </c>
      <c r="D151" s="4">
        <v>116.36</v>
      </c>
      <c r="E151">
        <f>_xlfn.XLOOKUP(A151,Data_Cleaned!D:D,Data_Cleaned!C:C)</f>
        <v>1018</v>
      </c>
      <c r="F151" s="5">
        <f>_xlfn.XLOOKUP(A151,Data_Cleaned!D:D,Data_Cleaned!A:A)</f>
        <v>45296</v>
      </c>
    </row>
    <row r="152" spans="1:6">
      <c r="A152" t="s">
        <v>34</v>
      </c>
      <c r="B152" s="4" t="s">
        <v>21</v>
      </c>
      <c r="C152" s="4">
        <v>19.08</v>
      </c>
      <c r="D152" s="4">
        <v>58.72</v>
      </c>
      <c r="E152">
        <f>_xlfn.XLOOKUP(A152,Data_Cleaned!D:D,Data_Cleaned!C:C)</f>
        <v>1018</v>
      </c>
      <c r="F152" s="5">
        <f>_xlfn.XLOOKUP(A152,Data_Cleaned!D:D,Data_Cleaned!A:A)</f>
        <v>45296</v>
      </c>
    </row>
    <row r="153" spans="1:6">
      <c r="A153" t="s">
        <v>34</v>
      </c>
      <c r="B153" s="4" t="s">
        <v>16</v>
      </c>
      <c r="C153" s="4">
        <v>25.67</v>
      </c>
      <c r="D153" s="4">
        <v>40.16</v>
      </c>
      <c r="E153">
        <f>_xlfn.XLOOKUP(A153,Data_Cleaned!D:D,Data_Cleaned!C:C)</f>
        <v>1018</v>
      </c>
      <c r="F153" s="5">
        <f>_xlfn.XLOOKUP(A153,Data_Cleaned!D:D,Data_Cleaned!A:A)</f>
        <v>45296</v>
      </c>
    </row>
    <row r="154" spans="1:6">
      <c r="A154" t="s">
        <v>34</v>
      </c>
      <c r="B154" s="4" t="s">
        <v>10</v>
      </c>
      <c r="C154" s="4">
        <v>32.77</v>
      </c>
      <c r="D154" s="4">
        <v>72.03</v>
      </c>
      <c r="E154">
        <f>_xlfn.XLOOKUP(A154,Data_Cleaned!D:D,Data_Cleaned!C:C)</f>
        <v>1018</v>
      </c>
      <c r="F154" s="5">
        <f>_xlfn.XLOOKUP(A154,Data_Cleaned!D:D,Data_Cleaned!A:A)</f>
        <v>45296</v>
      </c>
    </row>
    <row r="155" spans="1:6">
      <c r="A155" t="s">
        <v>34</v>
      </c>
      <c r="B155" s="4" t="s">
        <v>23</v>
      </c>
      <c r="C155" s="4">
        <v>15.08</v>
      </c>
      <c r="D155" s="4">
        <v>28.08</v>
      </c>
      <c r="E155">
        <f>_xlfn.XLOOKUP(A155,Data_Cleaned!D:D,Data_Cleaned!C:C)</f>
        <v>1018</v>
      </c>
      <c r="F155" s="5">
        <f>_xlfn.XLOOKUP(A155,Data_Cleaned!D:D,Data_Cleaned!A:A)</f>
        <v>45296</v>
      </c>
    </row>
    <row r="156" spans="1:6">
      <c r="A156" t="s">
        <v>34</v>
      </c>
      <c r="B156" s="4" t="s">
        <v>23</v>
      </c>
      <c r="C156" s="4">
        <v>12.32</v>
      </c>
      <c r="D156" s="4">
        <v>24.34</v>
      </c>
      <c r="E156">
        <f>_xlfn.XLOOKUP(A156,Data_Cleaned!D:D,Data_Cleaned!C:C)</f>
        <v>1018</v>
      </c>
      <c r="F156" s="5">
        <f>_xlfn.XLOOKUP(A156,Data_Cleaned!D:D,Data_Cleaned!A:A)</f>
        <v>45296</v>
      </c>
    </row>
    <row r="157" spans="1:6">
      <c r="A157" t="s">
        <v>34</v>
      </c>
      <c r="B157" s="4" t="s">
        <v>10</v>
      </c>
      <c r="C157" s="4">
        <v>15.5</v>
      </c>
      <c r="D157" s="4">
        <v>27.27</v>
      </c>
      <c r="E157">
        <f>_xlfn.XLOOKUP(A157,Data_Cleaned!D:D,Data_Cleaned!C:C)</f>
        <v>1018</v>
      </c>
      <c r="F157" s="5">
        <f>_xlfn.XLOOKUP(A157,Data_Cleaned!D:D,Data_Cleaned!A:A)</f>
        <v>45296</v>
      </c>
    </row>
    <row r="158" spans="1:6">
      <c r="A158" t="s">
        <v>34</v>
      </c>
      <c r="B158" s="4" t="s">
        <v>10</v>
      </c>
      <c r="C158" s="4">
        <v>42.76</v>
      </c>
      <c r="D158" s="4">
        <v>68.48</v>
      </c>
      <c r="E158">
        <f>_xlfn.XLOOKUP(A158,Data_Cleaned!D:D,Data_Cleaned!C:C)</f>
        <v>1018</v>
      </c>
      <c r="F158" s="5">
        <f>_xlfn.XLOOKUP(A158,Data_Cleaned!D:D,Data_Cleaned!A:A)</f>
        <v>45296</v>
      </c>
    </row>
    <row r="159" spans="1:6">
      <c r="A159" t="s">
        <v>20</v>
      </c>
      <c r="B159" s="4" t="s">
        <v>21</v>
      </c>
      <c r="C159" s="4">
        <v>16.16</v>
      </c>
      <c r="D159" s="4">
        <v>38.64</v>
      </c>
      <c r="E159">
        <f>_xlfn.XLOOKUP(A159,Data_Cleaned!D:D,Data_Cleaned!C:C)</f>
        <v>1006</v>
      </c>
      <c r="F159" s="5">
        <f>_xlfn.XLOOKUP(A159,Data_Cleaned!D:D,Data_Cleaned!A:A)</f>
        <v>45400</v>
      </c>
    </row>
    <row r="160" spans="1:6">
      <c r="A160" t="s">
        <v>20</v>
      </c>
      <c r="B160" s="4" t="s">
        <v>10</v>
      </c>
      <c r="C160" s="4">
        <v>27.83</v>
      </c>
      <c r="D160" s="4">
        <v>56.9</v>
      </c>
      <c r="E160">
        <f>_xlfn.XLOOKUP(A160,Data_Cleaned!D:D,Data_Cleaned!C:C)</f>
        <v>1006</v>
      </c>
      <c r="F160" s="5">
        <f>_xlfn.XLOOKUP(A160,Data_Cleaned!D:D,Data_Cleaned!A:A)</f>
        <v>45400</v>
      </c>
    </row>
    <row r="161" spans="1:6">
      <c r="A161" t="s">
        <v>20</v>
      </c>
      <c r="B161" s="4" t="s">
        <v>10</v>
      </c>
      <c r="C161" s="4">
        <v>8</v>
      </c>
      <c r="D161" s="4">
        <v>16.57</v>
      </c>
      <c r="E161">
        <f>_xlfn.XLOOKUP(A161,Data_Cleaned!D:D,Data_Cleaned!C:C)</f>
        <v>1006</v>
      </c>
      <c r="F161" s="5">
        <f>_xlfn.XLOOKUP(A161,Data_Cleaned!D:D,Data_Cleaned!A:A)</f>
        <v>45400</v>
      </c>
    </row>
    <row r="162" spans="1:6">
      <c r="A162" t="s">
        <v>20</v>
      </c>
      <c r="B162" s="4" t="s">
        <v>23</v>
      </c>
      <c r="C162" s="4">
        <v>36.45</v>
      </c>
      <c r="D162" s="4">
        <v>60.07</v>
      </c>
      <c r="E162">
        <f>_xlfn.XLOOKUP(A162,Data_Cleaned!D:D,Data_Cleaned!C:C)</f>
        <v>1006</v>
      </c>
      <c r="F162" s="5">
        <f>_xlfn.XLOOKUP(A162,Data_Cleaned!D:D,Data_Cleaned!A:A)</f>
        <v>45400</v>
      </c>
    </row>
    <row r="163" spans="1:6">
      <c r="A163" t="s">
        <v>20</v>
      </c>
      <c r="B163" s="4" t="s">
        <v>21</v>
      </c>
      <c r="C163" s="4">
        <v>47</v>
      </c>
      <c r="D163" s="4">
        <v>75.04</v>
      </c>
      <c r="E163">
        <f>_xlfn.XLOOKUP(A163,Data_Cleaned!D:D,Data_Cleaned!C:C)</f>
        <v>1006</v>
      </c>
      <c r="F163" s="5">
        <f>_xlfn.XLOOKUP(A163,Data_Cleaned!D:D,Data_Cleaned!A:A)</f>
        <v>45400</v>
      </c>
    </row>
    <row r="164" spans="1:6">
      <c r="A164" t="s">
        <v>20</v>
      </c>
      <c r="B164" s="4" t="s">
        <v>10</v>
      </c>
      <c r="C164" s="4">
        <v>40.86</v>
      </c>
      <c r="D164" s="4">
        <v>66.27</v>
      </c>
      <c r="E164">
        <f>_xlfn.XLOOKUP(A164,Data_Cleaned!D:D,Data_Cleaned!C:C)</f>
        <v>1006</v>
      </c>
      <c r="F164" s="5">
        <f>_xlfn.XLOOKUP(A164,Data_Cleaned!D:D,Data_Cleaned!A:A)</f>
        <v>45400</v>
      </c>
    </row>
    <row r="165" spans="1:6">
      <c r="A165" t="s">
        <v>20</v>
      </c>
      <c r="B165" s="4" t="s">
        <v>16</v>
      </c>
      <c r="C165" s="4">
        <v>47.95</v>
      </c>
      <c r="D165" s="4">
        <v>80.4</v>
      </c>
      <c r="E165">
        <f>_xlfn.XLOOKUP(A165,Data_Cleaned!D:D,Data_Cleaned!C:C)</f>
        <v>1006</v>
      </c>
      <c r="F165" s="5">
        <f>_xlfn.XLOOKUP(A165,Data_Cleaned!D:D,Data_Cleaned!A:A)</f>
        <v>45400</v>
      </c>
    </row>
    <row r="166" spans="1:6">
      <c r="A166" t="s">
        <v>20</v>
      </c>
      <c r="B166" s="4" t="s">
        <v>10</v>
      </c>
      <c r="C166" s="4">
        <v>10.9</v>
      </c>
      <c r="D166" s="4">
        <v>20.42</v>
      </c>
      <c r="E166">
        <f>_xlfn.XLOOKUP(A166,Data_Cleaned!D:D,Data_Cleaned!C:C)</f>
        <v>1006</v>
      </c>
      <c r="F166" s="5">
        <f>_xlfn.XLOOKUP(A166,Data_Cleaned!D:D,Data_Cleaned!A:A)</f>
        <v>45400</v>
      </c>
    </row>
    <row r="167" spans="1:6">
      <c r="A167" t="s">
        <v>19</v>
      </c>
      <c r="B167" s="4" t="s">
        <v>10</v>
      </c>
      <c r="C167" s="4">
        <v>30.13</v>
      </c>
      <c r="D167" s="4">
        <v>95.81</v>
      </c>
      <c r="E167">
        <f>_xlfn.XLOOKUP(A167,Data_Cleaned!D:D,Data_Cleaned!C:C)</f>
        <v>1005</v>
      </c>
      <c r="F167" s="5">
        <f>_xlfn.XLOOKUP(A167,Data_Cleaned!D:D,Data_Cleaned!A:A)</f>
        <v>45328</v>
      </c>
    </row>
    <row r="168" spans="1:6">
      <c r="A168" t="s">
        <v>19</v>
      </c>
      <c r="B168" s="4" t="s">
        <v>16</v>
      </c>
      <c r="C168" s="4">
        <v>12.93</v>
      </c>
      <c r="D168" s="4">
        <v>29</v>
      </c>
      <c r="E168">
        <f>_xlfn.XLOOKUP(A168,Data_Cleaned!D:D,Data_Cleaned!C:C)</f>
        <v>1005</v>
      </c>
      <c r="F168" s="5">
        <f>_xlfn.XLOOKUP(A168,Data_Cleaned!D:D,Data_Cleaned!A:A)</f>
        <v>45328</v>
      </c>
    </row>
    <row r="169" spans="1:6">
      <c r="A169" t="s">
        <v>19</v>
      </c>
      <c r="B169" s="4" t="s">
        <v>16</v>
      </c>
      <c r="C169" s="4">
        <v>62.59</v>
      </c>
      <c r="D169" s="4">
        <v>119.69</v>
      </c>
      <c r="E169">
        <f>_xlfn.XLOOKUP(A169,Data_Cleaned!D:D,Data_Cleaned!C:C)</f>
        <v>1005</v>
      </c>
      <c r="F169" s="5">
        <f>_xlfn.XLOOKUP(A169,Data_Cleaned!D:D,Data_Cleaned!A:A)</f>
        <v>45328</v>
      </c>
    </row>
    <row r="170" spans="1:6">
      <c r="A170" t="s">
        <v>19</v>
      </c>
      <c r="B170" s="4" t="s">
        <v>23</v>
      </c>
      <c r="C170" s="4">
        <v>67.63</v>
      </c>
      <c r="D170" s="4">
        <v>100.91</v>
      </c>
      <c r="E170">
        <f>_xlfn.XLOOKUP(A170,Data_Cleaned!D:D,Data_Cleaned!C:C)</f>
        <v>1005</v>
      </c>
      <c r="F170" s="5">
        <f>_xlfn.XLOOKUP(A170,Data_Cleaned!D:D,Data_Cleaned!A:A)</f>
        <v>45328</v>
      </c>
    </row>
    <row r="171" spans="1:6">
      <c r="A171" t="s">
        <v>19</v>
      </c>
      <c r="B171" s="4" t="s">
        <v>10</v>
      </c>
      <c r="C171" s="4">
        <v>38.57</v>
      </c>
      <c r="D171" s="4">
        <v>59.42</v>
      </c>
      <c r="E171">
        <f>_xlfn.XLOOKUP(A171,Data_Cleaned!D:D,Data_Cleaned!C:C)</f>
        <v>1005</v>
      </c>
      <c r="F171" s="5">
        <f>_xlfn.XLOOKUP(A171,Data_Cleaned!D:D,Data_Cleaned!A:A)</f>
        <v>45328</v>
      </c>
    </row>
    <row r="172" spans="1:6">
      <c r="A172" t="s">
        <v>19</v>
      </c>
      <c r="B172" s="4" t="s">
        <v>23</v>
      </c>
      <c r="C172" s="4">
        <v>12.03</v>
      </c>
      <c r="D172" s="4">
        <v>21.1</v>
      </c>
      <c r="E172">
        <f>_xlfn.XLOOKUP(A172,Data_Cleaned!D:D,Data_Cleaned!C:C)</f>
        <v>1005</v>
      </c>
      <c r="F172" s="5">
        <f>_xlfn.XLOOKUP(A172,Data_Cleaned!D:D,Data_Cleaned!A:A)</f>
        <v>45328</v>
      </c>
    </row>
    <row r="173" spans="1:6">
      <c r="A173" t="s">
        <v>19</v>
      </c>
      <c r="B173" s="4" t="s">
        <v>23</v>
      </c>
      <c r="C173" s="4">
        <v>44.46</v>
      </c>
      <c r="D173" s="4">
        <v>73.73</v>
      </c>
      <c r="E173">
        <f>_xlfn.XLOOKUP(A173,Data_Cleaned!D:D,Data_Cleaned!C:C)</f>
        <v>1005</v>
      </c>
      <c r="F173" s="5">
        <f>_xlfn.XLOOKUP(A173,Data_Cleaned!D:D,Data_Cleaned!A:A)</f>
        <v>45328</v>
      </c>
    </row>
    <row r="174" spans="1:6">
      <c r="A174" t="s">
        <v>41</v>
      </c>
      <c r="B174" s="4" t="s">
        <v>10</v>
      </c>
      <c r="C174" s="4">
        <v>26.23</v>
      </c>
      <c r="D174" s="4">
        <v>38.44</v>
      </c>
      <c r="E174">
        <f>_xlfn.XLOOKUP(A174,Data_Cleaned!D:D,Data_Cleaned!C:C)</f>
        <v>1030</v>
      </c>
      <c r="F174" s="5">
        <f>_xlfn.XLOOKUP(A174,Data_Cleaned!D:D,Data_Cleaned!A:A)</f>
        <v>45614</v>
      </c>
    </row>
    <row r="175" spans="1:6">
      <c r="A175" t="s">
        <v>41</v>
      </c>
      <c r="B175" s="4" t="s">
        <v>10</v>
      </c>
      <c r="C175" s="4">
        <v>28.93</v>
      </c>
      <c r="D175" s="4">
        <v>78.93</v>
      </c>
      <c r="E175">
        <f>_xlfn.XLOOKUP(A175,Data_Cleaned!D:D,Data_Cleaned!C:C)</f>
        <v>1030</v>
      </c>
      <c r="F175" s="5">
        <f>_xlfn.XLOOKUP(A175,Data_Cleaned!D:D,Data_Cleaned!A:A)</f>
        <v>45614</v>
      </c>
    </row>
    <row r="176" spans="1:6">
      <c r="A176" t="s">
        <v>41</v>
      </c>
      <c r="B176" s="4" t="s">
        <v>10</v>
      </c>
      <c r="C176" s="4">
        <v>22.1</v>
      </c>
      <c r="D176" s="4">
        <v>34.88</v>
      </c>
      <c r="E176">
        <f>_xlfn.XLOOKUP(A176,Data_Cleaned!D:D,Data_Cleaned!C:C)</f>
        <v>1030</v>
      </c>
      <c r="F176" s="5">
        <f>_xlfn.XLOOKUP(A176,Data_Cleaned!D:D,Data_Cleaned!A:A)</f>
        <v>45614</v>
      </c>
    </row>
    <row r="177" spans="1:6">
      <c r="A177" t="s">
        <v>15</v>
      </c>
      <c r="B177" s="4" t="s">
        <v>16</v>
      </c>
      <c r="C177" s="4">
        <v>69.86</v>
      </c>
      <c r="D177" s="4">
        <v>101.58</v>
      </c>
      <c r="E177">
        <f>_xlfn.XLOOKUP(A177,Data_Cleaned!D:D,Data_Cleaned!C:C)</f>
        <v>1003</v>
      </c>
      <c r="F177" s="5">
        <f>_xlfn.XLOOKUP(A177,Data_Cleaned!D:D,Data_Cleaned!A:A)</f>
        <v>45475</v>
      </c>
    </row>
    <row r="178" spans="1:6">
      <c r="A178" t="s">
        <v>15</v>
      </c>
      <c r="B178" s="4" t="s">
        <v>21</v>
      </c>
      <c r="C178" s="4">
        <v>41.15</v>
      </c>
      <c r="D178" s="4">
        <v>109.33</v>
      </c>
      <c r="E178">
        <f>_xlfn.XLOOKUP(A178,Data_Cleaned!D:D,Data_Cleaned!C:C)</f>
        <v>1003</v>
      </c>
      <c r="F178" s="5">
        <f>_xlfn.XLOOKUP(A178,Data_Cleaned!D:D,Data_Cleaned!A:A)</f>
        <v>45475</v>
      </c>
    </row>
    <row r="179" spans="1:6">
      <c r="A179" t="s">
        <v>15</v>
      </c>
      <c r="B179" s="4" t="s">
        <v>21</v>
      </c>
      <c r="C179" s="4">
        <v>71.38</v>
      </c>
      <c r="D179" s="4">
        <v>114.39</v>
      </c>
      <c r="E179">
        <f>_xlfn.XLOOKUP(A179,Data_Cleaned!D:D,Data_Cleaned!C:C)</f>
        <v>1003</v>
      </c>
      <c r="F179" s="5">
        <f>_xlfn.XLOOKUP(A179,Data_Cleaned!D:D,Data_Cleaned!A:A)</f>
        <v>45475</v>
      </c>
    </row>
    <row r="180" spans="1:6">
      <c r="A180" t="s">
        <v>15</v>
      </c>
      <c r="B180" s="4" t="s">
        <v>16</v>
      </c>
      <c r="C180" s="4">
        <v>23.58</v>
      </c>
      <c r="D180" s="4">
        <v>51.85</v>
      </c>
      <c r="E180">
        <f>_xlfn.XLOOKUP(A180,Data_Cleaned!D:D,Data_Cleaned!C:C)</f>
        <v>1003</v>
      </c>
      <c r="F180" s="5">
        <f>_xlfn.XLOOKUP(A180,Data_Cleaned!D:D,Data_Cleaned!A:A)</f>
        <v>45475</v>
      </c>
    </row>
    <row r="181" spans="1:6">
      <c r="A181" t="s">
        <v>15</v>
      </c>
      <c r="B181" s="4" t="s">
        <v>16</v>
      </c>
      <c r="C181" s="4">
        <v>29.09</v>
      </c>
      <c r="D181" s="4">
        <v>78.75</v>
      </c>
      <c r="E181">
        <f>_xlfn.XLOOKUP(A181,Data_Cleaned!D:D,Data_Cleaned!C:C)</f>
        <v>1003</v>
      </c>
      <c r="F181" s="5">
        <f>_xlfn.XLOOKUP(A181,Data_Cleaned!D:D,Data_Cleaned!A:A)</f>
        <v>45475</v>
      </c>
    </row>
    <row r="182" spans="1:6">
      <c r="A182" t="s">
        <v>15</v>
      </c>
      <c r="B182" s="4" t="s">
        <v>10</v>
      </c>
      <c r="C182" s="4">
        <v>54</v>
      </c>
      <c r="D182" s="4">
        <v>63.13</v>
      </c>
      <c r="E182">
        <f>_xlfn.XLOOKUP(A182,Data_Cleaned!D:D,Data_Cleaned!C:C)</f>
        <v>1003</v>
      </c>
      <c r="F182" s="5">
        <f>_xlfn.XLOOKUP(A182,Data_Cleaned!D:D,Data_Cleaned!A:A)</f>
        <v>45475</v>
      </c>
    </row>
    <row r="183" spans="1:6">
      <c r="A183" t="s">
        <v>15</v>
      </c>
      <c r="B183" s="4" t="s">
        <v>10</v>
      </c>
      <c r="C183" s="4">
        <v>57.92</v>
      </c>
      <c r="D183" s="4">
        <v>89.64</v>
      </c>
      <c r="E183">
        <f>_xlfn.XLOOKUP(A183,Data_Cleaned!D:D,Data_Cleaned!C:C)</f>
        <v>1003</v>
      </c>
      <c r="F183" s="5">
        <f>_xlfn.XLOOKUP(A183,Data_Cleaned!D:D,Data_Cleaned!A:A)</f>
        <v>45475</v>
      </c>
    </row>
    <row r="184" spans="1:6">
      <c r="A184" t="s">
        <v>15</v>
      </c>
      <c r="B184" s="4" t="s">
        <v>10</v>
      </c>
      <c r="C184" s="4">
        <v>19.48</v>
      </c>
      <c r="D184" s="4">
        <v>60.86</v>
      </c>
      <c r="E184">
        <f>_xlfn.XLOOKUP(A184,Data_Cleaned!D:D,Data_Cleaned!C:C)</f>
        <v>1003</v>
      </c>
      <c r="F184" s="5">
        <f>_xlfn.XLOOKUP(A184,Data_Cleaned!D:D,Data_Cleaned!A:A)</f>
        <v>45475</v>
      </c>
    </row>
    <row r="185" spans="1:6">
      <c r="A185" t="s">
        <v>45</v>
      </c>
      <c r="B185" s="4" t="s">
        <v>10</v>
      </c>
      <c r="C185" s="4">
        <v>8.33</v>
      </c>
      <c r="D185" s="4">
        <v>25.67</v>
      </c>
      <c r="E185">
        <f>_xlfn.XLOOKUP(A185,Data_Cleaned!D:D,Data_Cleaned!C:C)</f>
        <v>1046</v>
      </c>
      <c r="F185" s="5">
        <f>_xlfn.XLOOKUP(A185,Data_Cleaned!D:D,Data_Cleaned!A:A)</f>
        <v>45618</v>
      </c>
    </row>
    <row r="186" spans="1:6">
      <c r="A186" t="s">
        <v>45</v>
      </c>
      <c r="B186" s="4" t="s">
        <v>10</v>
      </c>
      <c r="C186" s="4">
        <v>6.99</v>
      </c>
      <c r="D186" s="4">
        <v>22.77</v>
      </c>
      <c r="E186">
        <f>_xlfn.XLOOKUP(A186,Data_Cleaned!D:D,Data_Cleaned!C:C)</f>
        <v>1046</v>
      </c>
      <c r="F186" s="5">
        <f>_xlfn.XLOOKUP(A186,Data_Cleaned!D:D,Data_Cleaned!A:A)</f>
        <v>45618</v>
      </c>
    </row>
    <row r="187" spans="1:6">
      <c r="A187" t="s">
        <v>45</v>
      </c>
      <c r="B187" s="4" t="s">
        <v>10</v>
      </c>
      <c r="C187" s="4">
        <v>32.59</v>
      </c>
      <c r="D187" s="4">
        <v>92.63</v>
      </c>
      <c r="E187">
        <f>_xlfn.XLOOKUP(A187,Data_Cleaned!D:D,Data_Cleaned!C:C)</f>
        <v>1046</v>
      </c>
      <c r="F187" s="5">
        <f>_xlfn.XLOOKUP(A187,Data_Cleaned!D:D,Data_Cleaned!A:A)</f>
        <v>45618</v>
      </c>
    </row>
    <row r="188" spans="1:6">
      <c r="A188" t="s">
        <v>45</v>
      </c>
      <c r="B188" s="4" t="s">
        <v>21</v>
      </c>
      <c r="C188" s="4">
        <v>12.23</v>
      </c>
      <c r="D188" s="4">
        <v>20.54</v>
      </c>
      <c r="E188">
        <f>_xlfn.XLOOKUP(A188,Data_Cleaned!D:D,Data_Cleaned!C:C)</f>
        <v>1046</v>
      </c>
      <c r="F188" s="5">
        <f>_xlfn.XLOOKUP(A188,Data_Cleaned!D:D,Data_Cleaned!A:A)</f>
        <v>45618</v>
      </c>
    </row>
    <row r="189" spans="1:6">
      <c r="A189" t="s">
        <v>33</v>
      </c>
      <c r="B189" s="4" t="s">
        <v>10</v>
      </c>
      <c r="C189" s="4">
        <v>30.06</v>
      </c>
      <c r="D189" s="4">
        <v>84.92</v>
      </c>
      <c r="E189">
        <f>_xlfn.XLOOKUP(A189,Data_Cleaned!D:D,Data_Cleaned!C:C)</f>
        <v>1017</v>
      </c>
      <c r="F189" s="5">
        <f>_xlfn.XLOOKUP(A189,Data_Cleaned!D:D,Data_Cleaned!A:A)</f>
        <v>45596</v>
      </c>
    </row>
    <row r="190" spans="1:6">
      <c r="A190" t="s">
        <v>33</v>
      </c>
      <c r="B190" s="4" t="s">
        <v>10</v>
      </c>
      <c r="C190" s="4">
        <v>68.53</v>
      </c>
      <c r="D190" s="4">
        <v>116.42</v>
      </c>
      <c r="E190">
        <f>_xlfn.XLOOKUP(A190,Data_Cleaned!D:D,Data_Cleaned!C:C)</f>
        <v>1017</v>
      </c>
      <c r="F190" s="5">
        <f>_xlfn.XLOOKUP(A190,Data_Cleaned!D:D,Data_Cleaned!A:A)</f>
        <v>45596</v>
      </c>
    </row>
    <row r="191" spans="1:6">
      <c r="A191" t="s">
        <v>33</v>
      </c>
      <c r="B191" s="4" t="s">
        <v>16</v>
      </c>
      <c r="C191" s="4">
        <v>41.21</v>
      </c>
      <c r="D191" s="4">
        <v>78.17</v>
      </c>
      <c r="E191">
        <f>_xlfn.XLOOKUP(A191,Data_Cleaned!D:D,Data_Cleaned!C:C)</f>
        <v>1017</v>
      </c>
      <c r="F191" s="5">
        <f>_xlfn.XLOOKUP(A191,Data_Cleaned!D:D,Data_Cleaned!A:A)</f>
        <v>45596</v>
      </c>
    </row>
    <row r="192" spans="1:6">
      <c r="A192" t="s">
        <v>33</v>
      </c>
      <c r="B192" s="4" t="s">
        <v>16</v>
      </c>
      <c r="C192" s="4">
        <v>13.8</v>
      </c>
      <c r="D192" s="4">
        <v>39.27</v>
      </c>
      <c r="E192">
        <f>_xlfn.XLOOKUP(A192,Data_Cleaned!D:D,Data_Cleaned!C:C)</f>
        <v>1017</v>
      </c>
      <c r="F192" s="5">
        <f>_xlfn.XLOOKUP(A192,Data_Cleaned!D:D,Data_Cleaned!A:A)</f>
        <v>45596</v>
      </c>
    </row>
    <row r="193" spans="1:6">
      <c r="A193" t="s">
        <v>33</v>
      </c>
      <c r="B193" s="4" t="s">
        <v>10</v>
      </c>
      <c r="C193" s="4">
        <v>50.4</v>
      </c>
      <c r="D193" s="4">
        <v>99.87</v>
      </c>
      <c r="E193">
        <f>_xlfn.XLOOKUP(A193,Data_Cleaned!D:D,Data_Cleaned!C:C)</f>
        <v>1017</v>
      </c>
      <c r="F193" s="5">
        <f>_xlfn.XLOOKUP(A193,Data_Cleaned!D:D,Data_Cleaned!A:A)</f>
        <v>45596</v>
      </c>
    </row>
    <row r="194" spans="1:6">
      <c r="A194" t="s">
        <v>33</v>
      </c>
      <c r="B194" s="4" t="s">
        <v>21</v>
      </c>
      <c r="C194" s="4">
        <v>35.61</v>
      </c>
      <c r="D194" s="4">
        <v>55.87</v>
      </c>
      <c r="E194">
        <f>_xlfn.XLOOKUP(A194,Data_Cleaned!D:D,Data_Cleaned!C:C)</f>
        <v>1017</v>
      </c>
      <c r="F194" s="5">
        <f>_xlfn.XLOOKUP(A194,Data_Cleaned!D:D,Data_Cleaned!A:A)</f>
        <v>45596</v>
      </c>
    </row>
    <row r="195" spans="1:6">
      <c r="A195" t="s">
        <v>33</v>
      </c>
      <c r="B195" s="4" t="s">
        <v>23</v>
      </c>
      <c r="C195" s="4">
        <v>22.51</v>
      </c>
      <c r="D195" s="4">
        <v>36.81</v>
      </c>
      <c r="E195">
        <f>_xlfn.XLOOKUP(A195,Data_Cleaned!D:D,Data_Cleaned!C:C)</f>
        <v>1017</v>
      </c>
      <c r="F195" s="5">
        <f>_xlfn.XLOOKUP(A195,Data_Cleaned!D:D,Data_Cleaned!A:A)</f>
        <v>45596</v>
      </c>
    </row>
    <row r="196" spans="1:6">
      <c r="A196" t="s">
        <v>33</v>
      </c>
      <c r="B196" s="4" t="s">
        <v>16</v>
      </c>
      <c r="C196" s="4">
        <v>72.86</v>
      </c>
      <c r="D196" s="4">
        <v>105.64</v>
      </c>
      <c r="E196">
        <f>_xlfn.XLOOKUP(A196,Data_Cleaned!D:D,Data_Cleaned!C:C)</f>
        <v>1017</v>
      </c>
      <c r="F196" s="5">
        <f>_xlfn.XLOOKUP(A196,Data_Cleaned!D:D,Data_Cleaned!A:A)</f>
        <v>45596</v>
      </c>
    </row>
    <row r="197" spans="1:6">
      <c r="A197" t="s">
        <v>33</v>
      </c>
      <c r="B197" s="4" t="s">
        <v>21</v>
      </c>
      <c r="C197" s="4">
        <v>49.85</v>
      </c>
      <c r="D197" s="4">
        <v>117.04</v>
      </c>
      <c r="E197">
        <f>_xlfn.XLOOKUP(A197,Data_Cleaned!D:D,Data_Cleaned!C:C)</f>
        <v>1017</v>
      </c>
      <c r="F197" s="5">
        <f>_xlfn.XLOOKUP(A197,Data_Cleaned!D:D,Data_Cleaned!A:A)</f>
        <v>45596</v>
      </c>
    </row>
    <row r="198" spans="1:6">
      <c r="A198" t="s">
        <v>27</v>
      </c>
      <c r="B198" s="4" t="s">
        <v>21</v>
      </c>
      <c r="C198" s="4">
        <v>54.04</v>
      </c>
      <c r="D198" s="4">
        <v>100.13</v>
      </c>
      <c r="E198">
        <f>_xlfn.XLOOKUP(A198,Data_Cleaned!D:D,Data_Cleaned!C:C)</f>
        <v>1010</v>
      </c>
      <c r="F198" s="5">
        <f>_xlfn.XLOOKUP(A198,Data_Cleaned!D:D,Data_Cleaned!A:A)</f>
        <v>45542</v>
      </c>
    </row>
    <row r="199" spans="1:6">
      <c r="A199" t="s">
        <v>27</v>
      </c>
      <c r="B199" s="4" t="s">
        <v>21</v>
      </c>
      <c r="C199" s="4">
        <v>26</v>
      </c>
      <c r="D199" s="4">
        <v>58.93</v>
      </c>
      <c r="E199">
        <f>_xlfn.XLOOKUP(A199,Data_Cleaned!D:D,Data_Cleaned!C:C)</f>
        <v>1010</v>
      </c>
      <c r="F199" s="5">
        <f>_xlfn.XLOOKUP(A199,Data_Cleaned!D:D,Data_Cleaned!A:A)</f>
        <v>45542</v>
      </c>
    </row>
    <row r="200" spans="1:6">
      <c r="A200" t="s">
        <v>27</v>
      </c>
      <c r="B200" s="4" t="s">
        <v>23</v>
      </c>
      <c r="C200" s="4">
        <v>31.74</v>
      </c>
      <c r="D200" s="4">
        <v>72.35</v>
      </c>
      <c r="E200">
        <f>_xlfn.XLOOKUP(A200,Data_Cleaned!D:D,Data_Cleaned!C:C)</f>
        <v>1010</v>
      </c>
      <c r="F200" s="5">
        <f>_xlfn.XLOOKUP(A200,Data_Cleaned!D:D,Data_Cleaned!A:A)</f>
        <v>45542</v>
      </c>
    </row>
    <row r="201" spans="1:6">
      <c r="A201" t="s">
        <v>27</v>
      </c>
      <c r="B201" s="4" t="s">
        <v>16</v>
      </c>
      <c r="C201" s="4">
        <v>42.27</v>
      </c>
      <c r="D201" s="4">
        <v>79.77</v>
      </c>
      <c r="E201">
        <f>_xlfn.XLOOKUP(A201,Data_Cleaned!D:D,Data_Cleaned!C:C)</f>
        <v>1010</v>
      </c>
      <c r="F201" s="5">
        <f>_xlfn.XLOOKUP(A201,Data_Cleaned!D:D,Data_Cleaned!A:A)</f>
        <v>45542</v>
      </c>
    </row>
    <row r="202" spans="1:6">
      <c r="A202" t="s">
        <v>49</v>
      </c>
      <c r="B202" s="4" t="s">
        <v>21</v>
      </c>
      <c r="C202" s="4">
        <v>26.53</v>
      </c>
      <c r="D202" s="4">
        <v>48.14</v>
      </c>
      <c r="E202">
        <f>_xlfn.XLOOKUP(A202,Data_Cleaned!D:D,Data_Cleaned!C:C)</f>
        <v>1092</v>
      </c>
      <c r="F202" s="5">
        <f>_xlfn.XLOOKUP(A202,Data_Cleaned!D:D,Data_Cleaned!A:A)</f>
        <v>45561</v>
      </c>
    </row>
    <row r="203" spans="1:6">
      <c r="A203" t="s">
        <v>49</v>
      </c>
      <c r="B203" s="4" t="s">
        <v>16</v>
      </c>
      <c r="C203" s="4">
        <v>15.56</v>
      </c>
      <c r="D203" s="4">
        <v>29.31</v>
      </c>
      <c r="E203">
        <f>_xlfn.XLOOKUP(A203,Data_Cleaned!D:D,Data_Cleaned!C:C)</f>
        <v>1092</v>
      </c>
      <c r="F203" s="5">
        <f>_xlfn.XLOOKUP(A203,Data_Cleaned!D:D,Data_Cleaned!A:A)</f>
        <v>45561</v>
      </c>
    </row>
    <row r="204" spans="1:6">
      <c r="A204" t="s">
        <v>49</v>
      </c>
      <c r="B204" s="4" t="s">
        <v>16</v>
      </c>
      <c r="C204" s="4">
        <v>40</v>
      </c>
      <c r="D204" s="4">
        <v>52.49</v>
      </c>
      <c r="E204">
        <f>_xlfn.XLOOKUP(A204,Data_Cleaned!D:D,Data_Cleaned!C:C)</f>
        <v>1092</v>
      </c>
      <c r="F204" s="5">
        <f>_xlfn.XLOOKUP(A204,Data_Cleaned!D:D,Data_Cleaned!A:A)</f>
        <v>45561</v>
      </c>
    </row>
  </sheetData>
  <autoFilter xmlns:etc="http://www.wps.cn/officeDocument/2017/etCustomData" ref="A1:F204" etc:filterBottomFollowUsedRange="0">
    <sortState ref="A1:F204">
      <sortCondition ref="A1"/>
    </sortState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B103"/>
  <sheetViews>
    <sheetView zoomScale="63" zoomScaleNormal="63" topLeftCell="C34" workbookViewId="0">
      <selection activeCell="E80" sqref="E80:AB80"/>
      <pivotSelection pane="bottomRight" showHeader="1" extendable="1" activeRow="79" activeCol="7" previousRow="79" previousCol="7" click="1" r:id="rId4">
        <pivotArea type="topRight" dataOnly="0" labelOnly="1" outline="0" fieldPosition="0"/>
      </pivotSelection>
    </sheetView>
  </sheetViews>
  <sheetFormatPr defaultColWidth="9" defaultRowHeight="16.8"/>
  <cols>
    <col min="1" max="2" width="13.9375"/>
    <col min="3" max="26" width="15.8125"/>
    <col min="27" max="27" width="19.8125"/>
    <col min="28" max="28" width="20.625"/>
  </cols>
  <sheetData>
    <row r="3" spans="2:3">
      <c r="B3" t="s">
        <v>3</v>
      </c>
      <c r="C3" t="s">
        <v>133</v>
      </c>
    </row>
    <row r="4" spans="2:11">
      <c r="B4" t="s">
        <v>23</v>
      </c>
      <c r="D4" t="s">
        <v>10</v>
      </c>
      <c r="F4" t="s">
        <v>21</v>
      </c>
      <c r="H4" t="s">
        <v>16</v>
      </c>
      <c r="J4" t="s">
        <v>134</v>
      </c>
      <c r="K4" t="s">
        <v>135</v>
      </c>
    </row>
    <row r="5" spans="1:9">
      <c r="A5" t="s">
        <v>4</v>
      </c>
      <c r="B5" t="s">
        <v>136</v>
      </c>
      <c r="C5" t="s">
        <v>137</v>
      </c>
      <c r="D5" t="s">
        <v>136</v>
      </c>
      <c r="E5" t="s">
        <v>137</v>
      </c>
      <c r="F5" t="s">
        <v>136</v>
      </c>
      <c r="G5" t="s">
        <v>137</v>
      </c>
      <c r="H5" t="s">
        <v>136</v>
      </c>
      <c r="I5" t="s">
        <v>137</v>
      </c>
    </row>
    <row r="6" spans="1:11">
      <c r="A6" t="s">
        <v>25</v>
      </c>
      <c r="B6">
        <v>10467.39</v>
      </c>
      <c r="C6">
        <v>142</v>
      </c>
      <c r="D6">
        <v>9470.12</v>
      </c>
      <c r="E6">
        <v>192</v>
      </c>
      <c r="F6">
        <v>10068.47</v>
      </c>
      <c r="G6">
        <v>161</v>
      </c>
      <c r="H6">
        <v>6624.75</v>
      </c>
      <c r="I6">
        <v>109</v>
      </c>
      <c r="J6">
        <v>36630.73</v>
      </c>
      <c r="K6">
        <v>604</v>
      </c>
    </row>
    <row r="7" spans="1:11">
      <c r="A7" t="s">
        <v>11</v>
      </c>
      <c r="B7">
        <v>8785.72</v>
      </c>
      <c r="C7">
        <v>123</v>
      </c>
      <c r="D7">
        <v>12253.76</v>
      </c>
      <c r="E7">
        <v>194</v>
      </c>
      <c r="F7">
        <v>15439.58</v>
      </c>
      <c r="G7">
        <v>211</v>
      </c>
      <c r="H7">
        <v>6839.32</v>
      </c>
      <c r="I7">
        <v>131</v>
      </c>
      <c r="J7">
        <v>43318.38</v>
      </c>
      <c r="K7">
        <v>659</v>
      </c>
    </row>
    <row r="8" spans="1:11">
      <c r="A8" t="s">
        <v>14</v>
      </c>
      <c r="B8">
        <v>14010.74</v>
      </c>
      <c r="C8">
        <v>220</v>
      </c>
      <c r="D8">
        <v>10745.23</v>
      </c>
      <c r="E8">
        <v>137</v>
      </c>
      <c r="F8">
        <v>9257.91</v>
      </c>
      <c r="G8">
        <v>167</v>
      </c>
      <c r="H8">
        <v>5236.84</v>
      </c>
      <c r="I8">
        <v>98</v>
      </c>
      <c r="J8">
        <v>39250.72</v>
      </c>
      <c r="K8">
        <v>622</v>
      </c>
    </row>
    <row r="9" spans="1:11">
      <c r="A9" t="s">
        <v>17</v>
      </c>
      <c r="B9">
        <v>7449.54</v>
      </c>
      <c r="C9">
        <v>111</v>
      </c>
      <c r="D9">
        <v>9540.79</v>
      </c>
      <c r="E9">
        <v>142</v>
      </c>
      <c r="F9">
        <v>15059.02</v>
      </c>
      <c r="G9">
        <v>245</v>
      </c>
      <c r="H9">
        <v>11083.79</v>
      </c>
      <c r="I9">
        <v>182</v>
      </c>
      <c r="J9">
        <v>43133.14</v>
      </c>
      <c r="K9">
        <v>680</v>
      </c>
    </row>
    <row r="10" spans="1:11">
      <c r="A10" t="s">
        <v>138</v>
      </c>
      <c r="B10">
        <v>40713.39</v>
      </c>
      <c r="C10">
        <v>596</v>
      </c>
      <c r="D10">
        <v>42009.9</v>
      </c>
      <c r="E10">
        <v>665</v>
      </c>
      <c r="F10">
        <v>49824.98</v>
      </c>
      <c r="G10">
        <v>784</v>
      </c>
      <c r="H10">
        <v>29784.7</v>
      </c>
      <c r="I10">
        <v>520</v>
      </c>
      <c r="J10">
        <v>162332.97</v>
      </c>
      <c r="K10">
        <v>2565</v>
      </c>
    </row>
    <row r="34" spans="1:3">
      <c r="A34" t="s">
        <v>78</v>
      </c>
      <c r="B34" t="s">
        <v>136</v>
      </c>
      <c r="C34" t="s">
        <v>139</v>
      </c>
    </row>
    <row r="35" spans="1:3">
      <c r="A35" t="s">
        <v>95</v>
      </c>
      <c r="B35">
        <v>13656.94</v>
      </c>
      <c r="C35">
        <v>7527.8</v>
      </c>
    </row>
    <row r="36" spans="1:3">
      <c r="A36" t="s">
        <v>96</v>
      </c>
      <c r="B36">
        <v>21072.4</v>
      </c>
      <c r="C36">
        <v>9935.86</v>
      </c>
    </row>
    <row r="37" spans="1:3">
      <c r="A37" t="s">
        <v>97</v>
      </c>
      <c r="B37">
        <v>14263.05</v>
      </c>
      <c r="C37">
        <v>6823.05</v>
      </c>
    </row>
    <row r="38" spans="1:3">
      <c r="A38" t="s">
        <v>98</v>
      </c>
      <c r="B38">
        <v>6762.45</v>
      </c>
      <c r="C38">
        <v>3124.03</v>
      </c>
    </row>
    <row r="39" spans="1:3">
      <c r="A39" t="s">
        <v>99</v>
      </c>
      <c r="B39">
        <v>15367.54</v>
      </c>
      <c r="C39">
        <v>7822.45</v>
      </c>
    </row>
    <row r="40" spans="1:3">
      <c r="A40" t="s">
        <v>100</v>
      </c>
      <c r="B40">
        <v>12866.31</v>
      </c>
      <c r="C40">
        <v>5970.21</v>
      </c>
    </row>
    <row r="41" spans="1:3">
      <c r="A41" t="s">
        <v>101</v>
      </c>
      <c r="B41">
        <v>13237.96</v>
      </c>
      <c r="C41">
        <v>6285.75</v>
      </c>
    </row>
    <row r="42" spans="1:3">
      <c r="A42" t="s">
        <v>102</v>
      </c>
      <c r="B42">
        <v>25642.76</v>
      </c>
      <c r="C42">
        <v>12151.83</v>
      </c>
    </row>
    <row r="43" spans="1:3">
      <c r="A43" t="s">
        <v>103</v>
      </c>
      <c r="B43">
        <v>11124.54</v>
      </c>
      <c r="C43">
        <v>4941.9</v>
      </c>
    </row>
    <row r="44" spans="1:3">
      <c r="A44" t="s">
        <v>104</v>
      </c>
      <c r="B44">
        <v>11941.62</v>
      </c>
      <c r="C44">
        <v>5850.96</v>
      </c>
    </row>
    <row r="45" spans="1:3">
      <c r="A45" t="s">
        <v>105</v>
      </c>
      <c r="B45">
        <v>13166.92</v>
      </c>
      <c r="C45">
        <v>6556.59</v>
      </c>
    </row>
    <row r="46" spans="1:3">
      <c r="A46" t="s">
        <v>106</v>
      </c>
      <c r="B46">
        <v>3230.48</v>
      </c>
      <c r="C46">
        <v>1815.33</v>
      </c>
    </row>
    <row r="47" spans="1:3">
      <c r="A47" t="s">
        <v>138</v>
      </c>
      <c r="B47">
        <v>162332.97</v>
      </c>
      <c r="C47">
        <v>78805.76</v>
      </c>
    </row>
    <row r="60" spans="1:4">
      <c r="A60" t="s">
        <v>3</v>
      </c>
      <c r="B60" t="s">
        <v>136</v>
      </c>
      <c r="C60" t="s">
        <v>140</v>
      </c>
      <c r="D60" t="s">
        <v>139</v>
      </c>
    </row>
    <row r="61" spans="1:4">
      <c r="A61" t="s">
        <v>23</v>
      </c>
      <c r="B61">
        <v>40713.39</v>
      </c>
      <c r="C61">
        <v>20703.48</v>
      </c>
      <c r="D61">
        <v>20009.91</v>
      </c>
    </row>
    <row r="62" spans="1:4">
      <c r="A62" t="s">
        <v>10</v>
      </c>
      <c r="B62">
        <v>42009.9</v>
      </c>
      <c r="C62">
        <v>20644.86</v>
      </c>
      <c r="D62">
        <v>21365.04</v>
      </c>
    </row>
    <row r="63" spans="1:4">
      <c r="A63" t="s">
        <v>21</v>
      </c>
      <c r="B63">
        <v>49824.98</v>
      </c>
      <c r="C63">
        <v>26249.11</v>
      </c>
      <c r="D63">
        <v>23575.87</v>
      </c>
    </row>
    <row r="64" spans="1:4">
      <c r="A64" t="s">
        <v>16</v>
      </c>
      <c r="B64">
        <v>29784.7</v>
      </c>
      <c r="C64">
        <v>15929.76</v>
      </c>
      <c r="D64">
        <v>13854.94</v>
      </c>
    </row>
    <row r="65" spans="1:4">
      <c r="A65" t="s">
        <v>138</v>
      </c>
      <c r="B65">
        <v>162332.97</v>
      </c>
      <c r="C65">
        <v>83527.21</v>
      </c>
      <c r="D65">
        <v>78805.76</v>
      </c>
    </row>
    <row r="80" spans="3:4">
      <c r="C80" t="s">
        <v>78</v>
      </c>
      <c r="D80" t="s">
        <v>133</v>
      </c>
    </row>
    <row r="81" spans="3:28">
      <c r="C81" t="s">
        <v>95</v>
      </c>
      <c r="E81" t="s">
        <v>96</v>
      </c>
      <c r="G81" t="s">
        <v>97</v>
      </c>
      <c r="I81" t="s">
        <v>98</v>
      </c>
      <c r="K81" t="s">
        <v>99</v>
      </c>
      <c r="M81" t="s">
        <v>100</v>
      </c>
      <c r="O81" t="s">
        <v>101</v>
      </c>
      <c r="Q81" t="s">
        <v>102</v>
      </c>
      <c r="S81" t="s">
        <v>103</v>
      </c>
      <c r="U81" t="s">
        <v>104</v>
      </c>
      <c r="W81" t="s">
        <v>105</v>
      </c>
      <c r="Y81" t="s">
        <v>106</v>
      </c>
      <c r="AA81" t="s">
        <v>134</v>
      </c>
      <c r="AB81" t="s">
        <v>135</v>
      </c>
    </row>
    <row r="82" spans="1:26">
      <c r="A82" t="s">
        <v>4</v>
      </c>
      <c r="B82" t="s">
        <v>3</v>
      </c>
      <c r="C82" t="s">
        <v>136</v>
      </c>
      <c r="D82" t="s">
        <v>137</v>
      </c>
      <c r="E82" t="s">
        <v>136</v>
      </c>
      <c r="F82" t="s">
        <v>137</v>
      </c>
      <c r="G82" t="s">
        <v>136</v>
      </c>
      <c r="H82" t="s">
        <v>137</v>
      </c>
      <c r="I82" t="s">
        <v>136</v>
      </c>
      <c r="J82" t="s">
        <v>137</v>
      </c>
      <c r="K82" t="s">
        <v>136</v>
      </c>
      <c r="L82" t="s">
        <v>137</v>
      </c>
      <c r="M82" t="s">
        <v>136</v>
      </c>
      <c r="N82" t="s">
        <v>137</v>
      </c>
      <c r="O82" t="s">
        <v>136</v>
      </c>
      <c r="P82" t="s">
        <v>137</v>
      </c>
      <c r="Q82" t="s">
        <v>136</v>
      </c>
      <c r="R82" t="s">
        <v>137</v>
      </c>
      <c r="S82" t="s">
        <v>136</v>
      </c>
      <c r="T82" t="s">
        <v>137</v>
      </c>
      <c r="U82" t="s">
        <v>136</v>
      </c>
      <c r="V82" t="s">
        <v>137</v>
      </c>
      <c r="W82" t="s">
        <v>136</v>
      </c>
      <c r="X82" t="s">
        <v>137</v>
      </c>
      <c r="Y82" t="s">
        <v>136</v>
      </c>
      <c r="Z82" t="s">
        <v>137</v>
      </c>
    </row>
    <row r="83" spans="1:28">
      <c r="A83" t="s">
        <v>25</v>
      </c>
      <c r="C83">
        <v>1834.02</v>
      </c>
      <c r="D83">
        <v>32</v>
      </c>
      <c r="E83">
        <v>10428.06</v>
      </c>
      <c r="F83">
        <v>118</v>
      </c>
      <c r="G83">
        <v>5600.21</v>
      </c>
      <c r="H83">
        <v>94</v>
      </c>
      <c r="I83">
        <v>406.27</v>
      </c>
      <c r="J83">
        <v>13</v>
      </c>
      <c r="K83">
        <v>3014.69</v>
      </c>
      <c r="L83">
        <v>39</v>
      </c>
      <c r="M83">
        <v>1126.72</v>
      </c>
      <c r="N83">
        <v>21</v>
      </c>
      <c r="O83">
        <v>1890.33</v>
      </c>
      <c r="P83">
        <v>55</v>
      </c>
      <c r="Q83">
        <v>5014.39</v>
      </c>
      <c r="R83">
        <v>89</v>
      </c>
      <c r="S83">
        <v>666.96</v>
      </c>
      <c r="T83">
        <v>30</v>
      </c>
      <c r="U83">
        <v>2297.32</v>
      </c>
      <c r="V83">
        <v>38</v>
      </c>
      <c r="W83">
        <v>4351.76</v>
      </c>
      <c r="X83">
        <v>75</v>
      </c>
      <c r="AA83">
        <v>36630.73</v>
      </c>
      <c r="AB83">
        <v>604</v>
      </c>
    </row>
    <row r="84" spans="2:28">
      <c r="B84" t="s">
        <v>23</v>
      </c>
      <c r="C84">
        <v>94.84</v>
      </c>
      <c r="D84">
        <v>2</v>
      </c>
      <c r="E84">
        <v>4818.66</v>
      </c>
      <c r="F84">
        <v>47</v>
      </c>
      <c r="G84">
        <v>1966.96</v>
      </c>
      <c r="H84">
        <v>23</v>
      </c>
      <c r="I84">
        <v>185.79</v>
      </c>
      <c r="J84">
        <v>11</v>
      </c>
      <c r="K84">
        <v>1042.61</v>
      </c>
      <c r="L84">
        <v>17</v>
      </c>
      <c r="M84">
        <v>401.38</v>
      </c>
      <c r="N84">
        <v>7</v>
      </c>
      <c r="S84">
        <v>147.46</v>
      </c>
      <c r="T84">
        <v>2</v>
      </c>
      <c r="U84">
        <v>504.6</v>
      </c>
      <c r="V84">
        <v>12</v>
      </c>
      <c r="W84">
        <v>1305.09</v>
      </c>
      <c r="X84">
        <v>21</v>
      </c>
      <c r="AA84">
        <v>10467.39</v>
      </c>
      <c r="AB84">
        <v>142</v>
      </c>
    </row>
    <row r="85" spans="2:28">
      <c r="B85" t="s">
        <v>10</v>
      </c>
      <c r="E85">
        <v>3755.62</v>
      </c>
      <c r="F85">
        <v>49</v>
      </c>
      <c r="G85">
        <v>1995.95</v>
      </c>
      <c r="H85">
        <v>50</v>
      </c>
      <c r="K85">
        <v>1972.08</v>
      </c>
      <c r="L85">
        <v>22</v>
      </c>
      <c r="O85">
        <v>318.78</v>
      </c>
      <c r="P85">
        <v>14</v>
      </c>
      <c r="Q85">
        <v>814.66</v>
      </c>
      <c r="R85">
        <v>32</v>
      </c>
      <c r="W85">
        <v>613.03</v>
      </c>
      <c r="X85">
        <v>25</v>
      </c>
      <c r="AA85">
        <v>9470.12</v>
      </c>
      <c r="AB85">
        <v>192</v>
      </c>
    </row>
    <row r="86" spans="2:28">
      <c r="B86" t="s">
        <v>21</v>
      </c>
      <c r="C86">
        <v>313.56</v>
      </c>
      <c r="D86">
        <v>12</v>
      </c>
      <c r="E86">
        <v>1748.8</v>
      </c>
      <c r="F86">
        <v>20</v>
      </c>
      <c r="M86">
        <v>725.34</v>
      </c>
      <c r="N86">
        <v>14</v>
      </c>
      <c r="O86">
        <v>1571.55</v>
      </c>
      <c r="P86">
        <v>41</v>
      </c>
      <c r="Q86">
        <v>3916.5</v>
      </c>
      <c r="R86">
        <v>48</v>
      </c>
      <c r="U86">
        <v>1792.72</v>
      </c>
      <c r="V86">
        <v>26</v>
      </c>
      <c r="AA86">
        <v>10068.47</v>
      </c>
      <c r="AB86">
        <v>161</v>
      </c>
    </row>
    <row r="87" spans="2:28">
      <c r="B87" t="s">
        <v>16</v>
      </c>
      <c r="C87">
        <v>1425.62</v>
      </c>
      <c r="D87">
        <v>18</v>
      </c>
      <c r="E87">
        <v>104.98</v>
      </c>
      <c r="F87">
        <v>2</v>
      </c>
      <c r="G87">
        <v>1637.3</v>
      </c>
      <c r="H87">
        <v>21</v>
      </c>
      <c r="I87">
        <v>220.48</v>
      </c>
      <c r="J87">
        <v>2</v>
      </c>
      <c r="M87">
        <v>0</v>
      </c>
      <c r="N87">
        <v>0</v>
      </c>
      <c r="Q87">
        <v>283.23</v>
      </c>
      <c r="R87">
        <v>9</v>
      </c>
      <c r="S87">
        <v>519.5</v>
      </c>
      <c r="T87">
        <v>28</v>
      </c>
      <c r="W87">
        <v>2433.64</v>
      </c>
      <c r="X87">
        <v>29</v>
      </c>
      <c r="AA87">
        <v>6624.75</v>
      </c>
      <c r="AB87">
        <v>109</v>
      </c>
    </row>
    <row r="88" spans="1:28">
      <c r="A88" t="s">
        <v>11</v>
      </c>
      <c r="C88">
        <v>2447.84</v>
      </c>
      <c r="D88">
        <v>56</v>
      </c>
      <c r="E88">
        <v>1321.54</v>
      </c>
      <c r="F88">
        <v>22</v>
      </c>
      <c r="G88">
        <v>1816.67</v>
      </c>
      <c r="H88">
        <v>31</v>
      </c>
      <c r="I88">
        <v>2063.84</v>
      </c>
      <c r="J88">
        <v>24</v>
      </c>
      <c r="K88">
        <v>2359.04</v>
      </c>
      <c r="L88">
        <v>44</v>
      </c>
      <c r="M88">
        <v>4992.18</v>
      </c>
      <c r="N88">
        <v>81</v>
      </c>
      <c r="O88">
        <v>3168.21</v>
      </c>
      <c r="P88">
        <v>53</v>
      </c>
      <c r="Q88">
        <v>8075.59</v>
      </c>
      <c r="R88">
        <v>92</v>
      </c>
      <c r="S88">
        <v>7649.73</v>
      </c>
      <c r="T88">
        <v>131</v>
      </c>
      <c r="U88">
        <v>4019.17</v>
      </c>
      <c r="V88">
        <v>49</v>
      </c>
      <c r="W88">
        <v>2634.34</v>
      </c>
      <c r="X88">
        <v>49</v>
      </c>
      <c r="Y88">
        <v>2770.23</v>
      </c>
      <c r="Z88">
        <v>27</v>
      </c>
      <c r="AA88">
        <v>43318.38</v>
      </c>
      <c r="AB88">
        <v>659</v>
      </c>
    </row>
    <row r="89" spans="2:28">
      <c r="B89" t="s">
        <v>23</v>
      </c>
      <c r="E89">
        <v>1321.54</v>
      </c>
      <c r="F89">
        <v>22</v>
      </c>
      <c r="K89">
        <v>36.81</v>
      </c>
      <c r="L89">
        <v>1</v>
      </c>
      <c r="M89">
        <v>237</v>
      </c>
      <c r="N89">
        <v>2</v>
      </c>
      <c r="O89">
        <v>1663.7</v>
      </c>
      <c r="P89">
        <v>30</v>
      </c>
      <c r="Q89">
        <v>5077.39</v>
      </c>
      <c r="R89">
        <v>52</v>
      </c>
      <c r="S89">
        <v>449.28</v>
      </c>
      <c r="T89">
        <v>16</v>
      </c>
      <c r="AA89">
        <v>8785.72</v>
      </c>
      <c r="AB89">
        <v>123</v>
      </c>
    </row>
    <row r="90" spans="2:28">
      <c r="B90" t="s">
        <v>10</v>
      </c>
      <c r="I90">
        <v>104.84</v>
      </c>
      <c r="J90">
        <v>1</v>
      </c>
      <c r="K90">
        <v>2322.23</v>
      </c>
      <c r="L90">
        <v>43</v>
      </c>
      <c r="M90">
        <v>3090.58</v>
      </c>
      <c r="N90">
        <v>51</v>
      </c>
      <c r="O90">
        <v>1504.51</v>
      </c>
      <c r="P90">
        <v>23</v>
      </c>
      <c r="Q90">
        <v>1880.8</v>
      </c>
      <c r="R90">
        <v>20</v>
      </c>
      <c r="S90">
        <v>2383.26</v>
      </c>
      <c r="T90">
        <v>39</v>
      </c>
      <c r="U90">
        <v>383.1</v>
      </c>
      <c r="V90">
        <v>10</v>
      </c>
      <c r="W90">
        <v>15.22</v>
      </c>
      <c r="X90">
        <v>1</v>
      </c>
      <c r="Y90">
        <v>569.22</v>
      </c>
      <c r="Z90">
        <v>6</v>
      </c>
      <c r="AA90">
        <v>12253.76</v>
      </c>
      <c r="AB90">
        <v>194</v>
      </c>
    </row>
    <row r="91" spans="2:28">
      <c r="B91" t="s">
        <v>21</v>
      </c>
      <c r="C91">
        <v>195.8</v>
      </c>
      <c r="D91">
        <v>11</v>
      </c>
      <c r="G91">
        <v>1320.41</v>
      </c>
      <c r="H91">
        <v>13</v>
      </c>
      <c r="I91">
        <v>1180.92</v>
      </c>
      <c r="J91">
        <v>13</v>
      </c>
      <c r="M91">
        <v>536.76</v>
      </c>
      <c r="N91">
        <v>14</v>
      </c>
      <c r="Q91">
        <v>1117.4</v>
      </c>
      <c r="R91">
        <v>20</v>
      </c>
      <c r="S91">
        <v>3335.53</v>
      </c>
      <c r="T91">
        <v>56</v>
      </c>
      <c r="U91">
        <v>3636.07</v>
      </c>
      <c r="V91">
        <v>39</v>
      </c>
      <c r="W91">
        <v>1915.68</v>
      </c>
      <c r="X91">
        <v>24</v>
      </c>
      <c r="Y91">
        <v>2201.01</v>
      </c>
      <c r="Z91">
        <v>21</v>
      </c>
      <c r="AA91">
        <v>15439.58</v>
      </c>
      <c r="AB91">
        <v>211</v>
      </c>
    </row>
    <row r="92" spans="2:28">
      <c r="B92" t="s">
        <v>16</v>
      </c>
      <c r="C92">
        <v>2252.04</v>
      </c>
      <c r="D92">
        <v>45</v>
      </c>
      <c r="G92">
        <v>496.26</v>
      </c>
      <c r="H92">
        <v>18</v>
      </c>
      <c r="I92">
        <v>778.08</v>
      </c>
      <c r="J92">
        <v>10</v>
      </c>
      <c r="M92">
        <v>1127.84</v>
      </c>
      <c r="N92">
        <v>14</v>
      </c>
      <c r="S92">
        <v>1481.66</v>
      </c>
      <c r="T92">
        <v>20</v>
      </c>
      <c r="W92">
        <v>703.44</v>
      </c>
      <c r="X92">
        <v>24</v>
      </c>
      <c r="AA92">
        <v>6839.32</v>
      </c>
      <c r="AB92">
        <v>131</v>
      </c>
    </row>
    <row r="93" spans="1:28">
      <c r="A93" t="s">
        <v>14</v>
      </c>
      <c r="C93">
        <v>2351.17</v>
      </c>
      <c r="D93">
        <v>40</v>
      </c>
      <c r="E93">
        <v>4604.4</v>
      </c>
      <c r="F93">
        <v>45</v>
      </c>
      <c r="G93">
        <v>3362.85</v>
      </c>
      <c r="H93">
        <v>62</v>
      </c>
      <c r="I93">
        <v>1986.2</v>
      </c>
      <c r="J93">
        <v>33</v>
      </c>
      <c r="K93">
        <v>6576.38</v>
      </c>
      <c r="L93">
        <v>102</v>
      </c>
      <c r="M93">
        <v>1351.8</v>
      </c>
      <c r="N93">
        <v>33</v>
      </c>
      <c r="O93">
        <v>3146.76</v>
      </c>
      <c r="P93">
        <v>54</v>
      </c>
      <c r="Q93">
        <v>6328.85</v>
      </c>
      <c r="R93">
        <v>86</v>
      </c>
      <c r="S93">
        <v>1799.45</v>
      </c>
      <c r="T93">
        <v>35</v>
      </c>
      <c r="U93">
        <v>2372.79</v>
      </c>
      <c r="V93">
        <v>35</v>
      </c>
      <c r="W93">
        <v>4909.82</v>
      </c>
      <c r="X93">
        <v>72</v>
      </c>
      <c r="Y93">
        <v>460.25</v>
      </c>
      <c r="Z93">
        <v>25</v>
      </c>
      <c r="AA93">
        <v>39250.72</v>
      </c>
      <c r="AB93">
        <v>622</v>
      </c>
    </row>
    <row r="94" spans="2:28">
      <c r="B94" t="s">
        <v>23</v>
      </c>
      <c r="C94">
        <v>1021.8</v>
      </c>
      <c r="D94">
        <v>12</v>
      </c>
      <c r="G94">
        <v>2057.07</v>
      </c>
      <c r="H94">
        <v>41</v>
      </c>
      <c r="I94">
        <v>881.6</v>
      </c>
      <c r="J94">
        <v>19</v>
      </c>
      <c r="K94">
        <v>2185.48</v>
      </c>
      <c r="L94">
        <v>22</v>
      </c>
      <c r="M94">
        <v>228.96</v>
      </c>
      <c r="N94">
        <v>2</v>
      </c>
      <c r="O94">
        <v>422</v>
      </c>
      <c r="P94">
        <v>20</v>
      </c>
      <c r="Q94">
        <v>4269.26</v>
      </c>
      <c r="R94">
        <v>43</v>
      </c>
      <c r="S94">
        <v>516.25</v>
      </c>
      <c r="T94">
        <v>7</v>
      </c>
      <c r="U94">
        <v>1968.07</v>
      </c>
      <c r="V94">
        <v>29</v>
      </c>
      <c r="Y94">
        <v>460.25</v>
      </c>
      <c r="Z94">
        <v>25</v>
      </c>
      <c r="AA94">
        <v>14010.74</v>
      </c>
      <c r="AB94">
        <v>220</v>
      </c>
    </row>
    <row r="95" spans="2:28">
      <c r="B95" t="s">
        <v>10</v>
      </c>
      <c r="E95">
        <v>4604.4</v>
      </c>
      <c r="F95">
        <v>45</v>
      </c>
      <c r="G95">
        <v>1305.78</v>
      </c>
      <c r="H95">
        <v>21</v>
      </c>
      <c r="I95">
        <v>1104.6</v>
      </c>
      <c r="J95">
        <v>14</v>
      </c>
      <c r="K95">
        <v>2751.78</v>
      </c>
      <c r="L95">
        <v>36</v>
      </c>
      <c r="M95">
        <v>189.54</v>
      </c>
      <c r="N95">
        <v>13</v>
      </c>
      <c r="U95">
        <v>169.84</v>
      </c>
      <c r="V95">
        <v>2</v>
      </c>
      <c r="W95">
        <v>619.29</v>
      </c>
      <c r="X95">
        <v>6</v>
      </c>
      <c r="AA95">
        <v>10745.23</v>
      </c>
      <c r="AB95">
        <v>137</v>
      </c>
    </row>
    <row r="96" spans="2:28">
      <c r="B96" t="s">
        <v>21</v>
      </c>
      <c r="C96">
        <v>505.36</v>
      </c>
      <c r="D96">
        <v>17</v>
      </c>
      <c r="G96">
        <v>0</v>
      </c>
      <c r="H96">
        <v>0</v>
      </c>
      <c r="O96">
        <v>1764.91</v>
      </c>
      <c r="P96">
        <v>19</v>
      </c>
      <c r="Q96">
        <v>1392.95</v>
      </c>
      <c r="R96">
        <v>35</v>
      </c>
      <c r="S96">
        <v>1283.2</v>
      </c>
      <c r="T96">
        <v>28</v>
      </c>
      <c r="U96">
        <v>234.88</v>
      </c>
      <c r="V96">
        <v>4</v>
      </c>
      <c r="W96">
        <v>4076.61</v>
      </c>
      <c r="X96">
        <v>64</v>
      </c>
      <c r="AA96">
        <v>9257.91</v>
      </c>
      <c r="AB96">
        <v>167</v>
      </c>
    </row>
    <row r="97" spans="2:28">
      <c r="B97" t="s">
        <v>16</v>
      </c>
      <c r="C97">
        <v>824.01</v>
      </c>
      <c r="D97">
        <v>11</v>
      </c>
      <c r="K97">
        <v>1639.12</v>
      </c>
      <c r="L97">
        <v>44</v>
      </c>
      <c r="M97">
        <v>933.3</v>
      </c>
      <c r="N97">
        <v>18</v>
      </c>
      <c r="O97">
        <v>959.85</v>
      </c>
      <c r="P97">
        <v>15</v>
      </c>
      <c r="Q97">
        <v>666.64</v>
      </c>
      <c r="R97">
        <v>8</v>
      </c>
      <c r="W97">
        <v>213.92</v>
      </c>
      <c r="X97">
        <v>2</v>
      </c>
      <c r="AA97">
        <v>5236.84</v>
      </c>
      <c r="AB97">
        <v>98</v>
      </c>
    </row>
    <row r="98" spans="1:28">
      <c r="A98" t="s">
        <v>17</v>
      </c>
      <c r="C98">
        <v>7023.91</v>
      </c>
      <c r="D98">
        <v>86</v>
      </c>
      <c r="E98">
        <v>4718.4</v>
      </c>
      <c r="F98">
        <v>52</v>
      </c>
      <c r="G98">
        <v>3483.32</v>
      </c>
      <c r="H98">
        <v>60</v>
      </c>
      <c r="I98">
        <v>2306.14</v>
      </c>
      <c r="J98">
        <v>41</v>
      </c>
      <c r="K98">
        <v>3417.43</v>
      </c>
      <c r="L98">
        <v>63</v>
      </c>
      <c r="M98">
        <v>5395.61</v>
      </c>
      <c r="N98">
        <v>70</v>
      </c>
      <c r="O98">
        <v>5032.66</v>
      </c>
      <c r="P98">
        <v>100</v>
      </c>
      <c r="Q98">
        <v>6223.93</v>
      </c>
      <c r="R98">
        <v>86</v>
      </c>
      <c r="S98">
        <v>1008.4</v>
      </c>
      <c r="T98">
        <v>29</v>
      </c>
      <c r="U98">
        <v>3252.34</v>
      </c>
      <c r="V98">
        <v>44</v>
      </c>
      <c r="W98">
        <v>1271</v>
      </c>
      <c r="X98">
        <v>49</v>
      </c>
      <c r="AA98">
        <v>43133.14</v>
      </c>
      <c r="AB98">
        <v>680</v>
      </c>
    </row>
    <row r="99" spans="2:28">
      <c r="B99" t="s">
        <v>23</v>
      </c>
      <c r="C99">
        <v>0</v>
      </c>
      <c r="D99">
        <v>0</v>
      </c>
      <c r="E99">
        <v>2914.75</v>
      </c>
      <c r="F99">
        <v>25</v>
      </c>
      <c r="G99">
        <v>718.78</v>
      </c>
      <c r="H99">
        <v>18</v>
      </c>
      <c r="I99">
        <v>146.12</v>
      </c>
      <c r="J99">
        <v>2</v>
      </c>
      <c r="K99">
        <v>1349.81</v>
      </c>
      <c r="L99">
        <v>31</v>
      </c>
      <c r="O99">
        <v>741.76</v>
      </c>
      <c r="P99">
        <v>19</v>
      </c>
      <c r="Q99">
        <v>1512.68</v>
      </c>
      <c r="R99">
        <v>13</v>
      </c>
      <c r="S99">
        <v>65.64</v>
      </c>
      <c r="T99">
        <v>3</v>
      </c>
      <c r="AA99">
        <v>7449.54</v>
      </c>
      <c r="AB99">
        <v>111</v>
      </c>
    </row>
    <row r="100" spans="2:28">
      <c r="B100" t="s">
        <v>10</v>
      </c>
      <c r="C100">
        <v>2284.87</v>
      </c>
      <c r="D100">
        <v>35</v>
      </c>
      <c r="E100">
        <v>636.94</v>
      </c>
      <c r="F100">
        <v>10</v>
      </c>
      <c r="I100">
        <v>118.84</v>
      </c>
      <c r="J100">
        <v>2</v>
      </c>
      <c r="K100">
        <v>96.65</v>
      </c>
      <c r="L100">
        <v>1</v>
      </c>
      <c r="M100">
        <v>2179.53</v>
      </c>
      <c r="N100">
        <v>24</v>
      </c>
      <c r="Q100">
        <v>3292</v>
      </c>
      <c r="R100">
        <v>59</v>
      </c>
      <c r="U100">
        <v>931.96</v>
      </c>
      <c r="V100">
        <v>11</v>
      </c>
      <c r="AA100">
        <v>9540.79</v>
      </c>
      <c r="AB100">
        <v>142</v>
      </c>
    </row>
    <row r="101" spans="2:28">
      <c r="B101" t="s">
        <v>21</v>
      </c>
      <c r="C101">
        <v>4739.04</v>
      </c>
      <c r="D101">
        <v>51</v>
      </c>
      <c r="G101">
        <v>469.54</v>
      </c>
      <c r="H101">
        <v>17</v>
      </c>
      <c r="I101">
        <v>1196.06</v>
      </c>
      <c r="J101">
        <v>29</v>
      </c>
      <c r="K101">
        <v>1520.97</v>
      </c>
      <c r="L101">
        <v>25</v>
      </c>
      <c r="M101">
        <v>1491.63</v>
      </c>
      <c r="N101">
        <v>21</v>
      </c>
      <c r="O101">
        <v>2716.81</v>
      </c>
      <c r="P101">
        <v>49</v>
      </c>
      <c r="U101">
        <v>2281.11</v>
      </c>
      <c r="V101">
        <v>32</v>
      </c>
      <c r="W101">
        <v>643.86</v>
      </c>
      <c r="X101">
        <v>21</v>
      </c>
      <c r="AA101">
        <v>15059.02</v>
      </c>
      <c r="AB101">
        <v>245</v>
      </c>
    </row>
    <row r="102" spans="2:28">
      <c r="B102" t="s">
        <v>16</v>
      </c>
      <c r="E102">
        <v>1166.71</v>
      </c>
      <c r="F102">
        <v>17</v>
      </c>
      <c r="G102">
        <v>2295</v>
      </c>
      <c r="H102">
        <v>25</v>
      </c>
      <c r="I102">
        <v>845.12</v>
      </c>
      <c r="J102">
        <v>8</v>
      </c>
      <c r="K102">
        <v>450</v>
      </c>
      <c r="L102">
        <v>6</v>
      </c>
      <c r="M102">
        <v>1724.45</v>
      </c>
      <c r="N102">
        <v>25</v>
      </c>
      <c r="O102">
        <v>1574.09</v>
      </c>
      <c r="P102">
        <v>32</v>
      </c>
      <c r="Q102">
        <v>1419.25</v>
      </c>
      <c r="R102">
        <v>14</v>
      </c>
      <c r="S102">
        <v>942.76</v>
      </c>
      <c r="T102">
        <v>26</v>
      </c>
      <c r="U102">
        <v>39.27</v>
      </c>
      <c r="V102">
        <v>1</v>
      </c>
      <c r="W102">
        <v>627.14</v>
      </c>
      <c r="X102">
        <v>28</v>
      </c>
      <c r="AA102">
        <v>11083.79</v>
      </c>
      <c r="AB102">
        <v>182</v>
      </c>
    </row>
    <row r="103" spans="1:28">
      <c r="A103" t="s">
        <v>138</v>
      </c>
      <c r="C103">
        <v>13656.94</v>
      </c>
      <c r="D103">
        <v>214</v>
      </c>
      <c r="E103">
        <v>21072.4</v>
      </c>
      <c r="F103">
        <v>237</v>
      </c>
      <c r="G103">
        <v>14263.05</v>
      </c>
      <c r="H103">
        <v>247</v>
      </c>
      <c r="I103">
        <v>6762.45</v>
      </c>
      <c r="J103">
        <v>111</v>
      </c>
      <c r="K103">
        <v>15367.54</v>
      </c>
      <c r="L103">
        <v>248</v>
      </c>
      <c r="M103">
        <v>12866.31</v>
      </c>
      <c r="N103">
        <v>205</v>
      </c>
      <c r="O103">
        <v>13237.96</v>
      </c>
      <c r="P103">
        <v>262</v>
      </c>
      <c r="Q103">
        <v>25642.76</v>
      </c>
      <c r="R103">
        <v>353</v>
      </c>
      <c r="S103">
        <v>11124.54</v>
      </c>
      <c r="T103">
        <v>225</v>
      </c>
      <c r="U103">
        <v>11941.62</v>
      </c>
      <c r="V103">
        <v>166</v>
      </c>
      <c r="W103">
        <v>13166.92</v>
      </c>
      <c r="X103">
        <v>245</v>
      </c>
      <c r="Y103">
        <v>3230.48</v>
      </c>
      <c r="Z103">
        <v>52</v>
      </c>
      <c r="AA103">
        <v>162332.97</v>
      </c>
      <c r="AB103">
        <v>2565</v>
      </c>
    </row>
  </sheetData>
  <pageMargins left="0.75" right="0.75" top="1" bottom="1" header="0.5" footer="0.5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2:K19"/>
  <sheetViews>
    <sheetView showGridLines="0" showRowColHeaders="0" workbookViewId="0">
      <selection activeCell="B35" sqref="B35"/>
    </sheetView>
  </sheetViews>
  <sheetFormatPr defaultColWidth="9" defaultRowHeight="16.8"/>
  <cols>
    <col min="1" max="1" width="12.6875" style="1"/>
    <col min="2" max="3" width="9" style="1"/>
    <col min="4" max="4" width="12.6875" style="1"/>
    <col min="5" max="16384" width="9" style="1"/>
  </cols>
  <sheetData>
    <row r="12" spans="1:4">
      <c r="A12" s="2">
        <f>KPI_Calc!B86</f>
        <v>0.306930748571901</v>
      </c>
      <c r="D12" s="3"/>
    </row>
    <row r="17" spans="1:1">
      <c r="A17" s="2">
        <f>KPI_Calc!B89</f>
        <v>0.266848934015068</v>
      </c>
    </row>
    <row r="18" spans="11:11">
      <c r="K18" s="1" t="s">
        <v>141</v>
      </c>
    </row>
    <row r="19" spans="1:1">
      <c r="A19" s="2">
        <f>KPI_Calc!D77</f>
        <v>0.15419976915393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Raw_data</vt:lpstr>
      <vt:lpstr>Data_Cleaned</vt:lpstr>
      <vt:lpstr>KPI_Calc</vt:lpstr>
      <vt:lpstr>Assumptions</vt:lpstr>
      <vt:lpstr>Scenario_Model</vt:lpstr>
      <vt:lpstr>Slicers</vt:lpstr>
      <vt:lpstr>Product Table</vt:lpstr>
      <vt:lpstr>Pivot 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prasad</cp:lastModifiedBy>
  <dcterms:created xsi:type="dcterms:W3CDTF">2025-11-10T13:44:00Z</dcterms:created>
  <dcterms:modified xsi:type="dcterms:W3CDTF">2025-12-08T21:29:19Z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1033-12.1.23152.23152</vt:lpwstr>
  </property>
  <property fmtid="{D5CDD505-2E9C-101B-9397-08002B2CF9AE}" pid="3" name="ICV">
    <vt:lpwstr>A4E159E80C0C9C53813E14691665D19A_43</vt:lpwstr>
  </property>
</Properties>
</file>